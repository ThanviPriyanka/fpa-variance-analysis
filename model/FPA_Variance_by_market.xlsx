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Model" sheetId="2" state="visible" r:id="rId4"/>
    <sheet name="Assumptions" sheetId="3" state="visible" r:id="rId5"/>
    <sheet name="Data" sheetId="4" state="visible" r:id="rId6"/>
    <sheet name="Notes" sheetId="5" state="visible" r:id="rId7"/>
  </sheets>
  <definedNames>
    <definedName function="false" hidden="false" localSheetId="0" name="_xlnm.Print_Area" vbProcedure="false">Dashboard!$A$1:$H$44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<sst xmlns="http://schemas.openxmlformats.org/spreadsheetml/2006/main" count="257" uniqueCount="89">
  <si>
    <t xml:space="preserve">FY2011 Revenue Variance  —  Plan vs Actual  (by market)</t>
  </si>
  <si>
    <t xml:space="preserve">Finding: 2011 revenue grew ~2% year-over-year but landed ~10% below a +10% growth plan. The gap is almost entirely a volume shortfall (the growth assumption was too aggressive); better-than-planned pricing cushioned it. Like-for-like Jan–Nov — December 2011 is truncated in the source and excluded.</t>
  </si>
  <si>
    <t xml:space="preserve">Helper tables (drive the charts)</t>
  </si>
  <si>
    <t xml:space="preserve">Budget revenue</t>
  </si>
  <si>
    <t xml:space="preserve">Actual revenue</t>
  </si>
  <si>
    <t xml:space="preserve">Total variance</t>
  </si>
  <si>
    <t xml:space="preserve">Variance %</t>
  </si>
  <si>
    <t xml:space="preserve">Step</t>
  </si>
  <si>
    <t xml:space="preserve">Value</t>
  </si>
  <si>
    <t xml:space="preserve">CumEnd</t>
  </si>
  <si>
    <t xml:space="preserve">Base</t>
  </si>
  <si>
    <t xml:space="preserve">Decrease</t>
  </si>
  <si>
    <t xml:space="preserve">Increase</t>
  </si>
  <si>
    <t xml:space="preserve">Total</t>
  </si>
  <si>
    <t xml:space="preserve">Budget</t>
  </si>
  <si>
    <t xml:space="preserve">Volume</t>
  </si>
  <si>
    <t xml:space="preserve">Mix</t>
  </si>
  <si>
    <t xml:space="preserve">Price</t>
  </si>
  <si>
    <t xml:space="preserve">Actual</t>
  </si>
  <si>
    <t xml:space="preserve">Month</t>
  </si>
  <si>
    <t xml:space="preserve">Calculation engine  —  Base → Budget → Actual → Price/Volume/Mix bridge</t>
  </si>
  <si>
    <t xml:space="preserve">All figures are Jan–Nov (like-for-like). Segment = market.</t>
  </si>
  <si>
    <t xml:space="preserve">1.  Base year actuals  (Jan–Nov, = Assumptions base year)</t>
  </si>
  <si>
    <t xml:space="preserve">Market</t>
  </si>
  <si>
    <t xml:space="preserve">Units</t>
  </si>
  <si>
    <t xml:space="preserve">Revenue</t>
  </si>
  <si>
    <t xml:space="preserve">Avg Price</t>
  </si>
  <si>
    <t xml:space="preserve">United Kingdom</t>
  </si>
  <si>
    <t xml:space="preserve">EIRE</t>
  </si>
  <si>
    <t xml:space="preserve">Netherlands</t>
  </si>
  <si>
    <t xml:space="preserve">Germany</t>
  </si>
  <si>
    <t xml:space="preserve">France</t>
  </si>
  <si>
    <t xml:space="preserve">Other</t>
  </si>
  <si>
    <t xml:space="preserve">2.  Budget  (base × plan assumptions)</t>
  </si>
  <si>
    <t xml:space="preserve">Vol Gr %</t>
  </si>
  <si>
    <t xml:space="preserve">Price Ch %</t>
  </si>
  <si>
    <t xml:space="preserve">Bud Units</t>
  </si>
  <si>
    <t xml:space="preserve">Bud Price</t>
  </si>
  <si>
    <t xml:space="preserve">Bud Revenue</t>
  </si>
  <si>
    <t xml:space="preserve">3.  Actual  (Jan–Nov, = Assumptions budget year)  +  per-segment effects</t>
  </si>
  <si>
    <t xml:space="preserve">Act Units</t>
  </si>
  <si>
    <t xml:space="preserve">Act Revenue</t>
  </si>
  <si>
    <t xml:space="preserve">Act Price</t>
  </si>
  <si>
    <t xml:space="preserve">Mix effect</t>
  </si>
  <si>
    <t xml:space="preserve">Price effect</t>
  </si>
  <si>
    <t xml:space="preserve">4.  Revenue bridge:  Budget → Volume → Mix → Price → Actual</t>
  </si>
  <si>
    <t xml:space="preserve">Volume effect</t>
  </si>
  <si>
    <t xml:space="preserve">Bridge check (≈0)</t>
  </si>
  <si>
    <t xml:space="preserve">FP&amp;A Variance Model  —  Assumptions (the plan, set in advance)</t>
  </si>
  <si>
    <t xml:space="preserve">Base year (actuals the plan is built from)</t>
  </si>
  <si>
    <t xml:space="preserve">Budget year (plan vs actual compared)</t>
  </si>
  <si>
    <t xml:space="preserve">Blue / shaded cells are inputs. Change them and the whole model + bridge update.</t>
  </si>
  <si>
    <t xml:space="preserve">Comparison is like-for-like Jan–Nov (December 2011 is truncated in the source, so it is excluded).</t>
  </si>
  <si>
    <t xml:space="preserve">Market segment</t>
  </si>
  <si>
    <t xml:space="preserve">Volume Growth %</t>
  </si>
  <si>
    <t xml:space="preserve">Price Change %</t>
  </si>
  <si>
    <t xml:space="preserve">MONTHLY FACT TABLE  —  output of sql/build_fact_table_by_market.sql (DuckDB)</t>
  </si>
  <si>
    <t xml:space="preserve">Imported from the data pipeline (real Online Retail II). Re-run the SQL to refresh; do not edit by hand.</t>
  </si>
  <si>
    <t xml:space="preserve">year</t>
  </si>
  <si>
    <t xml:space="preserve">month</t>
  </si>
  <si>
    <t xml:space="preserve">category</t>
  </si>
  <si>
    <t xml:space="preserve">units</t>
  </si>
  <si>
    <t xml:space="preserve">revenue</t>
  </si>
  <si>
    <t xml:space="preserve">avg_price</t>
  </si>
  <si>
    <t xml:space="preserve">Methodology &amp; Notes</t>
  </si>
  <si>
    <t xml:space="preserve">DATA SOURCE</t>
  </si>
  <si>
    <t xml:space="preserve">• UCI 'Online Retail II' — real UK online-retail transactions, Dec 2009 – Dec 2011 (~1.07M rows).</t>
  </si>
  <si>
    <t xml:space="preserve">• Pipeline: sql/build_fact_table_by_market.sql (DuckDB).</t>
  </si>
  <si>
    <t xml:space="preserve">CLEANING  (Stage 2 profiling on 1,067,371 raw rows)</t>
  </si>
  <si>
    <t xml:space="preserve">• Dropped cancellations ('C' invoices), non-positive quantities, and non-positive prices (~2.4%).</t>
  </si>
  <si>
    <t xml:space="preserve">• Kept 1,041,670 rows (97.6%). Missing Customer IDs (243,007) retained — revenue does not need them.</t>
  </si>
  <si>
    <t xml:space="preserve">SEGMENTATION  (v1 'by market' cut)</t>
  </si>
  <si>
    <t xml:space="preserve">• Segment = market: United Kingdom + EIRE, Netherlands, Germany, France, and 'Other' (all remaining countries).</t>
  </si>
  <si>
    <t xml:space="preserve">• The UK is ~85% of revenue, so cross-market mix is a minor variance driver by construction.</t>
  </si>
  <si>
    <t xml:space="preserve">• A v2 'by product category' cut (derived from descriptions) would show a richer mix story.</t>
  </si>
  <si>
    <t xml:space="preserve">COMPARISON PERIOD</t>
  </si>
  <si>
    <t xml:space="preserve">• Like-for-like Jan–Nov 2010 vs Jan–Nov 2011. December 2011 is truncated in the source (data ends</t>
  </si>
  <si>
    <t xml:space="preserve">  mid-December), so including it would invent a false ~£0.6M shortfall. December is excluded from both years.</t>
  </si>
  <si>
    <t xml:space="preserve">FORECAST / BUDGET</t>
  </si>
  <si>
    <t xml:space="preserve">• Driver-based: Budget = base-year actuals × (1 + Volume Growth %) × (1 + Price Change %), per segment.</t>
  </si>
  <si>
    <t xml:space="preserve">• Plan set in advance on the Assumptions tab (default +10% volume, +3% price). All inputs editable.</t>
  </si>
  <si>
    <t xml:space="preserve">PRICE / VOLUME / MIX BRIDGE  (decomposes Actual − Budget revenue variance)</t>
  </si>
  <si>
    <t xml:space="preserve">• Volume = (Total Actual units − Total Budget units) × Budget weighted-avg price</t>
  </si>
  <si>
    <t xml:space="preserve">• Mix    = Σ [ Actual units_i − Budget units_i × (Total Actual / Total Budget) ] × Budget price_i</t>
  </si>
  <si>
    <t xml:space="preserve">• Price  = Σ ( Actual price_i − Budget price_i ) × Actual units_i</t>
  </si>
  <si>
    <t xml:space="preserve">• Volume + Mix + Price = total variance (see 'Bridge check' on the Model tab — it equals ~£0).</t>
  </si>
  <si>
    <t xml:space="preserve">HONESTY NOTE</t>
  </si>
  <si>
    <t xml:space="preserve">• The budget is a constructed plan for this exercise; the finding is conditional on the plan assumptions.</t>
  </si>
  <si>
    <t xml:space="preserve">• Change the Assumptions and the variance — and the story — change accordingly.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</si>
</sst>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£#,##0;&quot;(£&quot;#,##0\);\-"/>
    <numFmt numFmtId="166" formatCode="0.0%"/>
    <numFmt numFmtId="167" formatCode="#,##0;\(#,##0\);\-"/>
    <numFmt numFmtId="168" formatCode="\£#,##0.00;&quot;(£&quot;#,##0.00\);\-"/>
    <numFmt numFmtId="169" formatCode="\£#,##0.00"/>
    <numFmt numFmtId="170" formatCode="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9333B"/>
      <name val="Arial"/>
      <family val="0"/>
      <charset val="1"/>
    </font>
    <font>
      <i val="true"/>
      <sz val="10"/>
      <color rgb="FF566066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29333B"/>
      <name val="Arial"/>
      <family val="0"/>
      <charset val="1"/>
    </font>
    <font>
      <b val="true"/>
      <sz val="14"/>
      <color rgb="FFC0392B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5"/>
      <color rgb="FF29333B"/>
      <name val="Arial"/>
      <family val="0"/>
      <charset val="1"/>
    </font>
    <font>
      <i val="true"/>
      <sz val="11"/>
      <color rgb="FF808080"/>
      <name val="Arial"/>
      <family val="0"/>
      <charset val="1"/>
    </font>
    <font>
      <b val="true"/>
      <sz val="11"/>
      <color rgb="FF0E7C7B"/>
      <name val="Arial"/>
      <family val="0"/>
      <charset val="1"/>
    </font>
    <font>
      <sz val="11"/>
      <color rgb="FF0E7C7B"/>
      <name val="Arial"/>
      <family val="0"/>
      <charset val="1"/>
    </font>
    <font>
      <b val="true"/>
      <sz val="11"/>
      <color rgb="FF29333B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40404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9333B"/>
        <bgColor rgb="FF404040"/>
      </patternFill>
    </fill>
    <fill>
      <patternFill patternType="solid">
        <fgColor rgb="FFE8EEEE"/>
        <bgColor rgb="FFFFF2CC"/>
      </patternFill>
    </fill>
    <fill>
      <patternFill patternType="solid">
        <fgColor rgb="FFFFF2CC"/>
        <bgColor rgb="FFE8EEEE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9D2D2"/>
      </left>
      <right style="thin">
        <color rgb="FFC9D2D2"/>
      </right>
      <top style="thin">
        <color rgb="FFC9D2D2"/>
      </top>
      <bottom style="thin">
        <color rgb="FFC9D2D2"/>
      </bottom>
      <diagonal/>
    </border>
    <border diagonalUp="false" diagonalDown="false">
      <left/>
      <right/>
      <top style="thin">
        <color rgb="FF29333B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9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1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19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9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D9D9D9"/>
      <rgbColor rgb="FF808080"/>
      <rgbColor rgb="FF878787"/>
      <rgbColor rgb="FF993366"/>
      <rgbColor rgb="FFFFF2CC"/>
      <rgbColor rgb="FFE8EEEE"/>
      <rgbColor rgb="FF660066"/>
      <rgbColor rgb="FFFF8080"/>
      <rgbColor rgb="FF0066CC"/>
      <rgbColor rgb="FFC9D2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66066"/>
      <rgbColor rgb="FF9AA5A5"/>
      <rgbColor rgb="FF003366"/>
      <rgbColor rgb="FF2E7D32"/>
      <rgbColor rgb="FF003300"/>
      <rgbColor rgb="FF404040"/>
      <rgbColor rgb="FFC0392B"/>
      <rgbColor rgb="FF993366"/>
      <rgbColor rgb="FF333399"/>
      <rgbColor rgb="FF2933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Bridge: Budget → Actual (£, Jan–Nov)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stacked"/>
        <c:varyColors val="0"/>
        <c:ser>
          <c:idx val="0"/>
          <c:order val="0"/>
          <c:tx>
            <c:strRef>
              <c:f>Dashboard!M4</c:f>
              <c:strCache>
                <c:ptCount val="1"/>
                <c:pt idx="0">
                  <c:v>Base</c:v>
                </c:pt>
              </c:strCache>
            </c:strRef>
          </c:tx>
          <c:spPr>
            <a:noFill/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Dashboard!$J$5:$J$9</c:f>
              <c:strCache>
                <c:ptCount val="5"/>
                <c:pt idx="0">
                  <c:v>Budget</c:v>
                </c:pt>
                <c:pt idx="1">
                  <c:v>Volume</c:v>
                </c:pt>
                <c:pt idx="2">
                  <c:v>Mix</c:v>
                </c:pt>
                <c:pt idx="3">
                  <c:v>Price</c:v>
                </c:pt>
                <c:pt idx="4">
                  <c:v>Actual</c:v>
                </c:pt>
              </c:strCache>
            </c:strRef>
          </c:cat>
          <c:val>
            <c:numRef>
              <c:f>Dashboard!$M$5:$M$9</c:f>
              <c:numCache>
                <c:formatCode>\£#,##0;"(£"#,##0\);\-</c:formatCode>
                <c:ptCount val="5"/>
                <c:pt idx="0">
                  <c:v>0</c:v>
                </c:pt>
                <c:pt idx="1">
                  <c:v>8761575.80855589</c:v>
                </c:pt>
                <c:pt idx="2">
                  <c:v>8761575.80855589</c:v>
                </c:pt>
                <c:pt idx="3">
                  <c:v>8882080.7459793</c:v>
                </c:pt>
                <c:pt idx="4">
                  <c:v>0</c:v>
                </c:pt>
              </c:numCache>
            </c:numRef>
          </c:val>
        </c:ser>
        <c:ser>
          <c:idx val="1"/>
          <c:order val="1"/>
          <c:tx>
            <c:strRef>
              <c:f>Dashboard!N4</c:f>
              <c:strCache>
                <c:ptCount val="1"/>
                <c:pt idx="0">
                  <c:v>Decrease</c:v>
                </c:pt>
              </c:strCache>
            </c:strRef>
          </c:tx>
          <c:spPr>
            <a:solidFill>
              <a:srgbClr val="c0392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Dashboard!$J$5:$J$9</c:f>
              <c:strCache>
                <c:ptCount val="5"/>
                <c:pt idx="0">
                  <c:v>Budget</c:v>
                </c:pt>
                <c:pt idx="1">
                  <c:v>Volume</c:v>
                </c:pt>
                <c:pt idx="2">
                  <c:v>Mix</c:v>
                </c:pt>
                <c:pt idx="3">
                  <c:v>Price</c:v>
                </c:pt>
                <c:pt idx="4">
                  <c:v>Actual</c:v>
                </c:pt>
              </c:strCache>
            </c:strRef>
          </c:cat>
          <c:val>
            <c:numRef>
              <c:f>Dashboard!$N$5:$N$9</c:f>
              <c:numCache>
                <c:formatCode>\£#,##0;"(£"#,##0\);\-</c:formatCode>
                <c:ptCount val="5"/>
                <c:pt idx="0">
                  <c:v>0</c:v>
                </c:pt>
                <c:pt idx="1">
                  <c:v>1482277.83157411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ser>
          <c:idx val="2"/>
          <c:order val="2"/>
          <c:tx>
            <c:strRef>
              <c:f>Dashboard!O4</c:f>
              <c:strCache>
                <c:ptCount val="1"/>
                <c:pt idx="0">
                  <c:v>Increase</c:v>
                </c:pt>
              </c:strCache>
            </c:strRef>
          </c:tx>
          <c:spPr>
            <a:solidFill>
              <a:srgbClr val="2e7d3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Dashboard!$J$5:$J$9</c:f>
              <c:strCache>
                <c:ptCount val="5"/>
                <c:pt idx="0">
                  <c:v>Budget</c:v>
                </c:pt>
                <c:pt idx="1">
                  <c:v>Volume</c:v>
                </c:pt>
                <c:pt idx="2">
                  <c:v>Mix</c:v>
                </c:pt>
                <c:pt idx="3">
                  <c:v>Price</c:v>
                </c:pt>
                <c:pt idx="4">
                  <c:v>Actual</c:v>
                </c:pt>
              </c:strCache>
            </c:strRef>
          </c:cat>
          <c:val>
            <c:numRef>
              <c:f>Dashboard!$O$5:$O$9</c:f>
              <c:numCache>
                <c:formatCode>\£#,##0;"(£"#,##0\);\-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120504.937423411</c:v>
                </c:pt>
                <c:pt idx="3">
                  <c:v>322064.974020698</c:v>
                </c:pt>
                <c:pt idx="4">
                  <c:v>0</c:v>
                </c:pt>
              </c:numCache>
            </c:numRef>
          </c:val>
        </c:ser>
        <c:ser>
          <c:idx val="3"/>
          <c:order val="3"/>
          <c:tx>
            <c:strRef>
              <c:f>Dashboard!P4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9333b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Dashboard!$J$5:$J$9</c:f>
              <c:strCache>
                <c:ptCount val="5"/>
                <c:pt idx="0">
                  <c:v>Budget</c:v>
                </c:pt>
                <c:pt idx="1">
                  <c:v>Volume</c:v>
                </c:pt>
                <c:pt idx="2">
                  <c:v>Mix</c:v>
                </c:pt>
                <c:pt idx="3">
                  <c:v>Price</c:v>
                </c:pt>
                <c:pt idx="4">
                  <c:v>Actual</c:v>
                </c:pt>
              </c:strCache>
            </c:strRef>
          </c:cat>
          <c:val>
            <c:numRef>
              <c:f>Dashboard!$P$5:$P$9</c:f>
              <c:numCache>
                <c:formatCode>\£#,##0;"(£"#,##0\);\-</c:formatCode>
                <c:ptCount val="5"/>
                <c:pt idx="0">
                  <c:v>10243853.64013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9204145.72</c:v>
                </c:pt>
              </c:numCache>
            </c:numRef>
          </c:val>
        </c:ser>
        <c:gapWidth val="150"/>
        <c:overlap val="100"/>
        <c:axId val="22415139"/>
        <c:axId val="57028410"/>
      </c:barChart>
      <c:catAx>
        <c:axId val="2241513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028410"/>
        <c:crosses val="autoZero"/>
        <c:auto val="1"/>
        <c:lblAlgn val="ctr"/>
        <c:lblOffset val="100"/>
        <c:noMultiLvlLbl val="0"/>
      </c:catAx>
      <c:valAx>
        <c:axId val="57028410"/>
        <c:scaling>
          <c:orientation val="minMax"/>
        </c:scaling>
        <c:delete val="0"/>
        <c:axPos val="l"/>
        <c:numFmt formatCode="\£#,##0;&quot;(£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41513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Revenue: Budget vs Actual (£, Jan–Nov)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Dashboard!K12</c:f>
              <c:strCache>
                <c:ptCount val="1"/>
                <c:pt idx="0">
                  <c:v>Budget</c:v>
                </c:pt>
              </c:strCache>
            </c:strRef>
          </c:tx>
          <c:spPr>
            <a:solidFill>
              <a:srgbClr val="9aa5a5"/>
            </a:solidFill>
            <a:ln w="28440">
              <a:solidFill>
                <a:srgbClr val="9aa5a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Dashboard!$J$13:$J$23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Dashboard!$K$13:$K$23</c:f>
              <c:numCache>
                <c:formatCode>\£#,##0;"(£"#,##0\);\-</c:formatCode>
                <c:ptCount val="11"/>
                <c:pt idx="0">
                  <c:v>739518.7305</c:v>
                </c:pt>
                <c:pt idx="1">
                  <c:v>626933.92542</c:v>
                </c:pt>
                <c:pt idx="2">
                  <c:v>944434.95729</c:v>
                </c:pt>
                <c:pt idx="3">
                  <c:v>772172.34567</c:v>
                </c:pt>
                <c:pt idx="4">
                  <c:v>747620.08838</c:v>
                </c:pt>
                <c:pt idx="5">
                  <c:v>852322.06862</c:v>
                </c:pt>
                <c:pt idx="6">
                  <c:v>737257.76102</c:v>
                </c:pt>
                <c:pt idx="7">
                  <c:v>790012.47303</c:v>
                </c:pt>
                <c:pt idx="8">
                  <c:v>1047269.30033</c:v>
                </c:pt>
                <c:pt idx="9">
                  <c:v>1320493.27003</c:v>
                </c:pt>
                <c:pt idx="10">
                  <c:v>1665818.71984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Dashboard!L12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0e7c7b"/>
            </a:solidFill>
            <a:ln w="29880">
              <a:solidFill>
                <a:srgbClr val="0e7c7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Dashboard!$J$13:$J$23</c:f>
              <c:strCach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</c:strCache>
            </c:strRef>
          </c:cat>
          <c:val>
            <c:numRef>
              <c:f>Dashboard!$L$13:$L$23</c:f>
              <c:numCache>
                <c:formatCode>\£#,##0;"(£"#,##0\);\-</c:formatCode>
                <c:ptCount val="11"/>
                <c:pt idx="0">
                  <c:v>691364.56</c:v>
                </c:pt>
                <c:pt idx="1">
                  <c:v>523631.89</c:v>
                </c:pt>
                <c:pt idx="2">
                  <c:v>717639.36</c:v>
                </c:pt>
                <c:pt idx="3">
                  <c:v>537808.62</c:v>
                </c:pt>
                <c:pt idx="4">
                  <c:v>770536.02</c:v>
                </c:pt>
                <c:pt idx="5">
                  <c:v>761739.9</c:v>
                </c:pt>
                <c:pt idx="6">
                  <c:v>719221.19</c:v>
                </c:pt>
                <c:pt idx="7">
                  <c:v>759138.38</c:v>
                </c:pt>
                <c:pt idx="8">
                  <c:v>1058590.17</c:v>
                </c:pt>
                <c:pt idx="9">
                  <c:v>1154979.3</c:v>
                </c:pt>
                <c:pt idx="10">
                  <c:v>1509496.33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0362942"/>
        <c:axId val="92511219"/>
      </c:lineChart>
      <c:catAx>
        <c:axId val="6036294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511219"/>
        <c:crosses val="autoZero"/>
        <c:auto val="1"/>
        <c:lblAlgn val="ctr"/>
        <c:lblOffset val="100"/>
        <c:noMultiLvlLbl val="0"/>
      </c:catAx>
      <c:valAx>
        <c:axId val="925112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;&quot;(£&quot;#,##0\);\-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36294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5</xdr:row>
      <xdr:rowOff>130680</xdr:rowOff>
    </xdr:from>
    <xdr:to>
      <xdr:col>6</xdr:col>
      <xdr:colOff>409680</xdr:colOff>
      <xdr:row>21</xdr:row>
      <xdr:rowOff>141840</xdr:rowOff>
    </xdr:to>
    <xdr:graphicFrame>
      <xdr:nvGraphicFramePr>
        <xdr:cNvPr id="0" name="Chart 1"/>
        <xdr:cNvGraphicFramePr/>
      </xdr:nvGraphicFramePr>
      <xdr:xfrm>
        <a:off x="0" y="1619280"/>
        <a:ext cx="6118920" cy="30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24</xdr:row>
      <xdr:rowOff>130680</xdr:rowOff>
    </xdr:from>
    <xdr:to>
      <xdr:col>6</xdr:col>
      <xdr:colOff>409680</xdr:colOff>
      <xdr:row>40</xdr:row>
      <xdr:rowOff>141840</xdr:rowOff>
    </xdr:to>
    <xdr:graphicFrame>
      <xdr:nvGraphicFramePr>
        <xdr:cNvPr id="1" name="Chart 2"/>
        <xdr:cNvGraphicFramePr/>
      </xdr:nvGraphicFramePr>
      <xdr:xfrm>
        <a:off x="0" y="5238720"/>
        <a:ext cx="6118920" cy="305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8" min="2" style="1" width="13"/>
    <col collapsed="false" customWidth="true" hidden="false" outlineLevel="0" max="16" min="10" style="1" width="11"/>
  </cols>
  <sheetData>
    <row r="1" customFormat="false" ht="19.7" hidden="false" customHeight="false" outlineLevel="0" collapsed="false">
      <c r="A1" s="2" t="s">
        <v>0</v>
      </c>
    </row>
    <row r="2" customFormat="false" ht="42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3" customFormat="false" ht="15" hidden="false" customHeight="false" outlineLevel="0" collapsed="false">
      <c r="J3" s="4" t="s">
        <v>2</v>
      </c>
    </row>
    <row r="4" customFormat="false" ht="15" hidden="false" customHeight="false" outlineLevel="0" collapsed="false">
      <c r="A4" s="5" t="s">
        <v>3</v>
      </c>
      <c r="B4" s="5"/>
      <c r="C4" s="5" t="s">
        <v>4</v>
      </c>
      <c r="D4" s="5"/>
      <c r="E4" s="5" t="s">
        <v>5</v>
      </c>
      <c r="F4" s="5"/>
      <c r="G4" s="5" t="s">
        <v>6</v>
      </c>
      <c r="H4" s="5"/>
      <c r="J4" s="6" t="s">
        <v>7</v>
      </c>
      <c r="K4" s="6" t="s">
        <v>8</v>
      </c>
      <c r="L4" s="6" t="s">
        <v>9</v>
      </c>
      <c r="M4" s="6" t="s">
        <v>10</v>
      </c>
      <c r="N4" s="6" t="s">
        <v>11</v>
      </c>
      <c r="O4" s="6" t="s">
        <v>12</v>
      </c>
      <c r="P4" s="6" t="s">
        <v>13</v>
      </c>
    </row>
    <row r="5" customFormat="false" ht="25.5" hidden="false" customHeight="true" outlineLevel="0" collapsed="false">
      <c r="A5" s="7" t="n">
        <f aca="false">Model!F21</f>
        <v>10243853.64013</v>
      </c>
      <c r="B5" s="7"/>
      <c r="C5" s="7" t="n">
        <f aca="false">Model!C31</f>
        <v>9204145.72</v>
      </c>
      <c r="D5" s="7"/>
      <c r="E5" s="8" t="n">
        <f aca="false">Model!C31-Model!F21</f>
        <v>-1039707.92013</v>
      </c>
      <c r="F5" s="8"/>
      <c r="G5" s="9" t="n">
        <f aca="false">(Model!C31-Model!F21)/Model!F21</f>
        <v>-0.101495780460683</v>
      </c>
      <c r="H5" s="9"/>
      <c r="J5" s="10" t="s">
        <v>14</v>
      </c>
      <c r="K5" s="11" t="n">
        <f aca="false">Model!B34</f>
        <v>10243853.64013</v>
      </c>
      <c r="L5" s="11" t="n">
        <f aca="false">K5</f>
        <v>10243853.64013</v>
      </c>
      <c r="M5" s="11" t="n">
        <v>0</v>
      </c>
      <c r="N5" s="11" t="n">
        <v>0</v>
      </c>
      <c r="O5" s="11" t="n">
        <v>0</v>
      </c>
      <c r="P5" s="11" t="n">
        <f aca="false">K5</f>
        <v>10243853.64013</v>
      </c>
    </row>
    <row r="6" customFormat="false" ht="15" hidden="false" customHeight="false" outlineLevel="0" collapsed="false">
      <c r="J6" s="10" t="s">
        <v>15</v>
      </c>
      <c r="K6" s="11" t="n">
        <f aca="false">Model!B35</f>
        <v>-1482277.83157411</v>
      </c>
      <c r="L6" s="11" t="n">
        <f aca="false">L5+K6</f>
        <v>8761575.80855589</v>
      </c>
      <c r="M6" s="11" t="n">
        <f aca="false">L6-MAX(K6,0)</f>
        <v>8761575.80855589</v>
      </c>
      <c r="N6" s="11" t="n">
        <f aca="false">MAX(-K6,0)</f>
        <v>1482277.83157411</v>
      </c>
      <c r="O6" s="11" t="n">
        <f aca="false">MAX(K6,0)</f>
        <v>0</v>
      </c>
      <c r="P6" s="11" t="n">
        <v>0</v>
      </c>
    </row>
    <row r="7" customFormat="false" ht="15" hidden="false" customHeight="false" outlineLevel="0" collapsed="false">
      <c r="J7" s="10" t="s">
        <v>16</v>
      </c>
      <c r="K7" s="11" t="n">
        <f aca="false">Model!B36</f>
        <v>120504.937423411</v>
      </c>
      <c r="L7" s="11" t="n">
        <f aca="false">L6+K7</f>
        <v>8882080.7459793</v>
      </c>
      <c r="M7" s="11" t="n">
        <f aca="false">L7-MAX(K7,0)</f>
        <v>8761575.80855589</v>
      </c>
      <c r="N7" s="11" t="n">
        <f aca="false">MAX(-K7,0)</f>
        <v>0</v>
      </c>
      <c r="O7" s="11" t="n">
        <f aca="false">MAX(K7,0)</f>
        <v>120504.937423411</v>
      </c>
      <c r="P7" s="11" t="n">
        <v>0</v>
      </c>
    </row>
    <row r="8" customFormat="false" ht="15" hidden="false" customHeight="false" outlineLevel="0" collapsed="false">
      <c r="J8" s="10" t="s">
        <v>17</v>
      </c>
      <c r="K8" s="11" t="n">
        <f aca="false">Model!B37</f>
        <v>322064.974020698</v>
      </c>
      <c r="L8" s="11" t="n">
        <f aca="false">L7+K8</f>
        <v>9204145.72</v>
      </c>
      <c r="M8" s="11" t="n">
        <f aca="false">L8-MAX(K8,0)</f>
        <v>8882080.7459793</v>
      </c>
      <c r="N8" s="11" t="n">
        <f aca="false">MAX(-K8,0)</f>
        <v>0</v>
      </c>
      <c r="O8" s="11" t="n">
        <f aca="false">MAX(K8,0)</f>
        <v>322064.974020698</v>
      </c>
      <c r="P8" s="11" t="n">
        <v>0</v>
      </c>
    </row>
    <row r="9" customFormat="false" ht="15" hidden="false" customHeight="false" outlineLevel="0" collapsed="false">
      <c r="J9" s="10" t="s">
        <v>18</v>
      </c>
      <c r="K9" s="11" t="n">
        <f aca="false">Model!B38</f>
        <v>9204145.72</v>
      </c>
      <c r="L9" s="11" t="n">
        <f aca="false">K9</f>
        <v>9204145.72</v>
      </c>
      <c r="M9" s="11" t="n">
        <v>0</v>
      </c>
      <c r="N9" s="11" t="n">
        <v>0</v>
      </c>
      <c r="O9" s="11" t="n">
        <v>0</v>
      </c>
      <c r="P9" s="11" t="n">
        <f aca="false">K9</f>
        <v>9204145.72</v>
      </c>
    </row>
    <row r="12" customFormat="false" ht="15" hidden="false" customHeight="false" outlineLevel="0" collapsed="false">
      <c r="J12" s="6" t="s">
        <v>19</v>
      </c>
      <c r="K12" s="6" t="s">
        <v>14</v>
      </c>
      <c r="L12" s="6" t="s">
        <v>18</v>
      </c>
    </row>
    <row r="13" customFormat="false" ht="15" hidden="false" customHeight="false" outlineLevel="0" collapsed="false">
      <c r="J13" s="10" t="n">
        <v>1</v>
      </c>
      <c r="K13" s="11" t="n">
        <f aca="false">SUMIFS(Data!$E:$E,Data!$A:$A,Assumptions!$B$3,Data!$B:$B,J13)*(Model!$F$21/Model!$C$11)</f>
        <v>739518.7305</v>
      </c>
      <c r="L13" s="11" t="n">
        <f aca="false">SUMIFS(Data!$E:$E,Data!$A:$A,Assumptions!$B$4,Data!$B:$B,J13)</f>
        <v>691364.56</v>
      </c>
    </row>
    <row r="14" customFormat="false" ht="15" hidden="false" customHeight="false" outlineLevel="0" collapsed="false">
      <c r="J14" s="10" t="n">
        <v>2</v>
      </c>
      <c r="K14" s="11" t="n">
        <f aca="false">SUMIFS(Data!$E:$E,Data!$A:$A,Assumptions!$B$3,Data!$B:$B,J14)*(Model!$F$21/Model!$C$11)</f>
        <v>626933.92542</v>
      </c>
      <c r="L14" s="11" t="n">
        <f aca="false">SUMIFS(Data!$E:$E,Data!$A:$A,Assumptions!$B$4,Data!$B:$B,J14)</f>
        <v>523631.89</v>
      </c>
    </row>
    <row r="15" customFormat="false" ht="15" hidden="false" customHeight="false" outlineLevel="0" collapsed="false">
      <c r="J15" s="10" t="n">
        <v>3</v>
      </c>
      <c r="K15" s="11" t="n">
        <f aca="false">SUMIFS(Data!$E:$E,Data!$A:$A,Assumptions!$B$3,Data!$B:$B,J15)*(Model!$F$21/Model!$C$11)</f>
        <v>944434.95729</v>
      </c>
      <c r="L15" s="11" t="n">
        <f aca="false">SUMIFS(Data!$E:$E,Data!$A:$A,Assumptions!$B$4,Data!$B:$B,J15)</f>
        <v>717639.36</v>
      </c>
    </row>
    <row r="16" customFormat="false" ht="15" hidden="false" customHeight="false" outlineLevel="0" collapsed="false">
      <c r="J16" s="10" t="n">
        <v>4</v>
      </c>
      <c r="K16" s="11" t="n">
        <f aca="false">SUMIFS(Data!$E:$E,Data!$A:$A,Assumptions!$B$3,Data!$B:$B,J16)*(Model!$F$21/Model!$C$11)</f>
        <v>772172.34567</v>
      </c>
      <c r="L16" s="11" t="n">
        <f aca="false">SUMIFS(Data!$E:$E,Data!$A:$A,Assumptions!$B$4,Data!$B:$B,J16)</f>
        <v>537808.62</v>
      </c>
    </row>
    <row r="17" customFormat="false" ht="15" hidden="false" customHeight="false" outlineLevel="0" collapsed="false">
      <c r="J17" s="10" t="n">
        <v>5</v>
      </c>
      <c r="K17" s="11" t="n">
        <f aca="false">SUMIFS(Data!$E:$E,Data!$A:$A,Assumptions!$B$3,Data!$B:$B,J17)*(Model!$F$21/Model!$C$11)</f>
        <v>747620.08838</v>
      </c>
      <c r="L17" s="11" t="n">
        <f aca="false">SUMIFS(Data!$E:$E,Data!$A:$A,Assumptions!$B$4,Data!$B:$B,J17)</f>
        <v>770536.02</v>
      </c>
    </row>
    <row r="18" customFormat="false" ht="15" hidden="false" customHeight="false" outlineLevel="0" collapsed="false">
      <c r="J18" s="10" t="n">
        <v>6</v>
      </c>
      <c r="K18" s="11" t="n">
        <f aca="false">SUMIFS(Data!$E:$E,Data!$A:$A,Assumptions!$B$3,Data!$B:$B,J18)*(Model!$F$21/Model!$C$11)</f>
        <v>852322.06862</v>
      </c>
      <c r="L18" s="11" t="n">
        <f aca="false">SUMIFS(Data!$E:$E,Data!$A:$A,Assumptions!$B$4,Data!$B:$B,J18)</f>
        <v>761739.9</v>
      </c>
    </row>
    <row r="19" customFormat="false" ht="15" hidden="false" customHeight="false" outlineLevel="0" collapsed="false">
      <c r="J19" s="10" t="n">
        <v>7</v>
      </c>
      <c r="K19" s="11" t="n">
        <f aca="false">SUMIFS(Data!$E:$E,Data!$A:$A,Assumptions!$B$3,Data!$B:$B,J19)*(Model!$F$21/Model!$C$11)</f>
        <v>737257.76102</v>
      </c>
      <c r="L19" s="11" t="n">
        <f aca="false">SUMIFS(Data!$E:$E,Data!$A:$A,Assumptions!$B$4,Data!$B:$B,J19)</f>
        <v>719221.19</v>
      </c>
    </row>
    <row r="20" customFormat="false" ht="15" hidden="false" customHeight="false" outlineLevel="0" collapsed="false">
      <c r="J20" s="10" t="n">
        <v>8</v>
      </c>
      <c r="K20" s="11" t="n">
        <f aca="false">SUMIFS(Data!$E:$E,Data!$A:$A,Assumptions!$B$3,Data!$B:$B,J20)*(Model!$F$21/Model!$C$11)</f>
        <v>790012.47303</v>
      </c>
      <c r="L20" s="11" t="n">
        <f aca="false">SUMIFS(Data!$E:$E,Data!$A:$A,Assumptions!$B$4,Data!$B:$B,J20)</f>
        <v>759138.38</v>
      </c>
    </row>
    <row r="21" customFormat="false" ht="15" hidden="false" customHeight="false" outlineLevel="0" collapsed="false">
      <c r="J21" s="10" t="n">
        <v>9</v>
      </c>
      <c r="K21" s="11" t="n">
        <f aca="false">SUMIFS(Data!$E:$E,Data!$A:$A,Assumptions!$B$3,Data!$B:$B,J21)*(Model!$F$21/Model!$C$11)</f>
        <v>1047269.30033</v>
      </c>
      <c r="L21" s="11" t="n">
        <f aca="false">SUMIFS(Data!$E:$E,Data!$A:$A,Assumptions!$B$4,Data!$B:$B,J21)</f>
        <v>1058590.17</v>
      </c>
    </row>
    <row r="22" customFormat="false" ht="15" hidden="false" customHeight="false" outlineLevel="0" collapsed="false">
      <c r="J22" s="10" t="n">
        <v>10</v>
      </c>
      <c r="K22" s="11" t="n">
        <f aca="false">SUMIFS(Data!$E:$E,Data!$A:$A,Assumptions!$B$3,Data!$B:$B,J22)*(Model!$F$21/Model!$C$11)</f>
        <v>1320493.27003</v>
      </c>
      <c r="L22" s="11" t="n">
        <f aca="false">SUMIFS(Data!$E:$E,Data!$A:$A,Assumptions!$B$4,Data!$B:$B,J22)</f>
        <v>1154979.3</v>
      </c>
    </row>
    <row r="23" customFormat="false" ht="15" hidden="false" customHeight="false" outlineLevel="0" collapsed="false">
      <c r="J23" s="10" t="n">
        <v>11</v>
      </c>
      <c r="K23" s="11" t="n">
        <f aca="false">SUMIFS(Data!$E:$E,Data!$A:$A,Assumptions!$B$3,Data!$B:$B,J23)*(Model!$F$21/Model!$C$11)</f>
        <v>1665818.71984</v>
      </c>
      <c r="L23" s="11" t="n">
        <f aca="false">SUMIFS(Data!$E:$E,Data!$A:$A,Assumptions!$B$4,Data!$B:$B,J23)</f>
        <v>1509496.33</v>
      </c>
    </row>
  </sheetData>
  <mergeCells count="9">
    <mergeCell ref="A2:H2"/>
    <mergeCell ref="A4:B4"/>
    <mergeCell ref="C4:D4"/>
    <mergeCell ref="E4:F4"/>
    <mergeCell ref="G4:H4"/>
    <mergeCell ref="A5:B5"/>
    <mergeCell ref="C5:D5"/>
    <mergeCell ref="E5:F5"/>
    <mergeCell ref="G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3" min="3" style="1" width="14"/>
    <col collapsed="false" customWidth="true" hidden="false" outlineLevel="0" max="5" min="4" style="1" width="12"/>
    <col collapsed="false" customWidth="true" hidden="false" outlineLevel="0" max="6" min="6" style="1" width="14"/>
  </cols>
  <sheetData>
    <row r="1" customFormat="false" ht="18.55" hidden="false" customHeight="false" outlineLevel="0" collapsed="false">
      <c r="A1" s="12" t="s">
        <v>20</v>
      </c>
    </row>
    <row r="2" customFormat="false" ht="15" hidden="false" customHeight="false" outlineLevel="0" collapsed="false">
      <c r="A2" s="13" t="s">
        <v>21</v>
      </c>
    </row>
    <row r="3" customFormat="false" ht="15" hidden="false" customHeight="false" outlineLevel="0" collapsed="false">
      <c r="A3" s="14" t="s">
        <v>22</v>
      </c>
    </row>
    <row r="4" customFormat="false" ht="15" hidden="false" customHeight="false" outlineLevel="0" collapsed="false">
      <c r="A4" s="6" t="s">
        <v>23</v>
      </c>
      <c r="B4" s="6" t="s">
        <v>24</v>
      </c>
      <c r="C4" s="6" t="s">
        <v>25</v>
      </c>
      <c r="D4" s="6" t="s">
        <v>26</v>
      </c>
    </row>
    <row r="5" customFormat="false" ht="15" hidden="false" customHeight="false" outlineLevel="0" collapsed="false">
      <c r="A5" s="15" t="s">
        <v>27</v>
      </c>
      <c r="B5" s="16" t="n">
        <f aca="false">SUMIFS(Data!$D:$D,Data!$A:$A,Assumptions!$B$3,Data!$C:$C,$A5,Data!$B:$B,"&lt;=11")</f>
        <v>4170870</v>
      </c>
      <c r="C5" s="17" t="n">
        <f aca="false">SUMIFS(Data!$E:$E,Data!$A:$A,Assumptions!$B$3,Data!$C:$C,$A5,Data!$B:$B,"&lt;=11")</f>
        <v>7690357.03</v>
      </c>
      <c r="D5" s="18" t="n">
        <f aca="false">C5/B5</f>
        <v>1.84382563589851</v>
      </c>
    </row>
    <row r="6" customFormat="false" ht="15" hidden="false" customHeight="false" outlineLevel="0" collapsed="false">
      <c r="A6" s="15" t="s">
        <v>28</v>
      </c>
      <c r="B6" s="16" t="n">
        <f aca="false">SUMIFS(Data!$D:$D,Data!$A:$A,Assumptions!$B$3,Data!$C:$C,$A6,Data!$B:$B,"&lt;=11")</f>
        <v>179977</v>
      </c>
      <c r="C6" s="17" t="n">
        <f aca="false">SUMIFS(Data!$E:$E,Data!$A:$A,Assumptions!$B$3,Data!$C:$C,$A6,Data!$B:$B,"&lt;=11")</f>
        <v>355595.3</v>
      </c>
      <c r="D6" s="18" t="n">
        <f aca="false">C6/B6</f>
        <v>1.9757819054657</v>
      </c>
    </row>
    <row r="7" customFormat="false" ht="15" hidden="false" customHeight="false" outlineLevel="0" collapsed="false">
      <c r="A7" s="15" t="s">
        <v>29</v>
      </c>
      <c r="B7" s="16" t="n">
        <f aca="false">SUMIFS(Data!$D:$D,Data!$A:$A,Assumptions!$B$3,Data!$C:$C,$A7,Data!$B:$B,"&lt;=11")</f>
        <v>172697</v>
      </c>
      <c r="C7" s="17" t="n">
        <f aca="false">SUMIFS(Data!$E:$E,Data!$A:$A,Assumptions!$B$3,Data!$C:$C,$A7,Data!$B:$B,"&lt;=11")</f>
        <v>253388.67</v>
      </c>
      <c r="D7" s="18" t="n">
        <f aca="false">C7/B7</f>
        <v>1.46724419069237</v>
      </c>
    </row>
    <row r="8" customFormat="false" ht="15" hidden="false" customHeight="false" outlineLevel="0" collapsed="false">
      <c r="A8" s="15" t="s">
        <v>30</v>
      </c>
      <c r="B8" s="16" t="n">
        <f aca="false">SUMIFS(Data!$D:$D,Data!$A:$A,Assumptions!$B$3,Data!$C:$C,$A8,Data!$B:$B,"&lt;=11")</f>
        <v>101279</v>
      </c>
      <c r="C8" s="17" t="n">
        <f aca="false">SUMIFS(Data!$E:$E,Data!$A:$A,Assumptions!$B$3,Data!$C:$C,$A8,Data!$B:$B,"&lt;=11")</f>
        <v>186614.39</v>
      </c>
      <c r="D8" s="18" t="n">
        <f aca="false">C8/B8</f>
        <v>1.84257733587417</v>
      </c>
    </row>
    <row r="9" customFormat="false" ht="15" hidden="false" customHeight="false" outlineLevel="0" collapsed="false">
      <c r="A9" s="15" t="s">
        <v>31</v>
      </c>
      <c r="B9" s="16" t="n">
        <f aca="false">SUMIFS(Data!$D:$D,Data!$A:$A,Assumptions!$B$3,Data!$C:$C,$A9,Data!$B:$B,"&lt;=11")</f>
        <v>156306</v>
      </c>
      <c r="C9" s="17" t="n">
        <f aca="false">SUMIFS(Data!$E:$E,Data!$A:$A,Assumptions!$B$3,Data!$C:$C,$A9,Data!$B:$B,"&lt;=11")</f>
        <v>134399.38</v>
      </c>
      <c r="D9" s="18" t="n">
        <f aca="false">C9/B9</f>
        <v>0.859847862526071</v>
      </c>
    </row>
    <row r="10" customFormat="false" ht="15" hidden="false" customHeight="false" outlineLevel="0" collapsed="false">
      <c r="A10" s="15" t="s">
        <v>32</v>
      </c>
      <c r="B10" s="16" t="n">
        <f aca="false">SUMIFS(Data!$D:$D,Data!$A:$A,Assumptions!$B$3,Data!$C:$C,$A10,Data!$B:$B,"&lt;=11")</f>
        <v>442859</v>
      </c>
      <c r="C10" s="17" t="n">
        <f aca="false">SUMIFS(Data!$E:$E,Data!$A:$A,Assumptions!$B$3,Data!$C:$C,$A10,Data!$B:$B,"&lt;=11")</f>
        <v>420998.84</v>
      </c>
      <c r="D10" s="18" t="n">
        <f aca="false">C10/B10</f>
        <v>0.950638555386703</v>
      </c>
    </row>
    <row r="11" customFormat="false" ht="15" hidden="false" customHeight="false" outlineLevel="0" collapsed="false">
      <c r="A11" s="19" t="s">
        <v>13</v>
      </c>
      <c r="B11" s="20" t="n">
        <f aca="false">SUM(B5:B10)</f>
        <v>5223988</v>
      </c>
      <c r="C11" s="21" t="n">
        <f aca="false">SUM(C5:C10)</f>
        <v>9041353.61</v>
      </c>
      <c r="D11" s="22" t="n">
        <f aca="false">C11/B11</f>
        <v>1.73073782137325</v>
      </c>
    </row>
    <row r="13" customFormat="false" ht="15" hidden="false" customHeight="false" outlineLevel="0" collapsed="false">
      <c r="A13" s="14" t="s">
        <v>33</v>
      </c>
    </row>
    <row r="14" customFormat="false" ht="15" hidden="false" customHeight="false" outlineLevel="0" collapsed="false">
      <c r="A14" s="6" t="s">
        <v>23</v>
      </c>
      <c r="B14" s="6" t="s">
        <v>34</v>
      </c>
      <c r="C14" s="6" t="s">
        <v>35</v>
      </c>
      <c r="D14" s="6" t="s">
        <v>36</v>
      </c>
      <c r="E14" s="6" t="s">
        <v>37</v>
      </c>
      <c r="F14" s="6" t="s">
        <v>38</v>
      </c>
    </row>
    <row r="15" customFormat="false" ht="15" hidden="false" customHeight="false" outlineLevel="0" collapsed="false">
      <c r="A15" s="15" t="str">
        <f aca="false">A5</f>
        <v>United Kingdom</v>
      </c>
      <c r="B15" s="23" t="n">
        <f aca="false">Assumptions!B9</f>
        <v>0.1</v>
      </c>
      <c r="C15" s="23" t="n">
        <f aca="false">Assumptions!C9</f>
        <v>0.03</v>
      </c>
      <c r="D15" s="24" t="n">
        <f aca="false">B5*(1+B15)</f>
        <v>4587957</v>
      </c>
      <c r="E15" s="18" t="n">
        <f aca="false">D5*(1+C15)</f>
        <v>1.89914040497546</v>
      </c>
      <c r="F15" s="11" t="n">
        <f aca="false">D15*E15</f>
        <v>8713174.51499</v>
      </c>
    </row>
    <row r="16" customFormat="false" ht="15" hidden="false" customHeight="false" outlineLevel="0" collapsed="false">
      <c r="A16" s="15" t="str">
        <f aca="false">A6</f>
        <v>EIRE</v>
      </c>
      <c r="B16" s="23" t="n">
        <f aca="false">Assumptions!B10</f>
        <v>0.1</v>
      </c>
      <c r="C16" s="23" t="n">
        <f aca="false">Assumptions!C10</f>
        <v>0.03</v>
      </c>
      <c r="D16" s="24" t="n">
        <f aca="false">B6*(1+B16)</f>
        <v>197974.7</v>
      </c>
      <c r="E16" s="18" t="n">
        <f aca="false">D6*(1+C16)</f>
        <v>2.03505536262967</v>
      </c>
      <c r="F16" s="11" t="n">
        <f aca="false">D16*E16</f>
        <v>402889.4749</v>
      </c>
    </row>
    <row r="17" customFormat="false" ht="15" hidden="false" customHeight="false" outlineLevel="0" collapsed="false">
      <c r="A17" s="15" t="str">
        <f aca="false">A7</f>
        <v>Netherlands</v>
      </c>
      <c r="B17" s="23" t="n">
        <f aca="false">Assumptions!B11</f>
        <v>0.1</v>
      </c>
      <c r="C17" s="23" t="n">
        <f aca="false">Assumptions!C11</f>
        <v>0.03</v>
      </c>
      <c r="D17" s="24" t="n">
        <f aca="false">B7*(1+B17)</f>
        <v>189966.7</v>
      </c>
      <c r="E17" s="18" t="n">
        <f aca="false">D7*(1+C17)</f>
        <v>1.51126151641314</v>
      </c>
      <c r="F17" s="11" t="n">
        <f aca="false">D17*E17</f>
        <v>287089.36311</v>
      </c>
    </row>
    <row r="18" customFormat="false" ht="15" hidden="false" customHeight="false" outlineLevel="0" collapsed="false">
      <c r="A18" s="15" t="str">
        <f aca="false">A8</f>
        <v>Germany</v>
      </c>
      <c r="B18" s="23" t="n">
        <f aca="false">Assumptions!B12</f>
        <v>0.1</v>
      </c>
      <c r="C18" s="23" t="n">
        <f aca="false">Assumptions!C12</f>
        <v>0.03</v>
      </c>
      <c r="D18" s="24" t="n">
        <f aca="false">B8*(1+B18)</f>
        <v>111406.9</v>
      </c>
      <c r="E18" s="18" t="n">
        <f aca="false">D8*(1+C18)</f>
        <v>1.89785465595039</v>
      </c>
      <c r="F18" s="11" t="n">
        <f aca="false">D18*E18</f>
        <v>211434.10387</v>
      </c>
    </row>
    <row r="19" customFormat="false" ht="15" hidden="false" customHeight="false" outlineLevel="0" collapsed="false">
      <c r="A19" s="15" t="str">
        <f aca="false">A9</f>
        <v>France</v>
      </c>
      <c r="B19" s="23" t="n">
        <f aca="false">Assumptions!B13</f>
        <v>0.1</v>
      </c>
      <c r="C19" s="23" t="n">
        <f aca="false">Assumptions!C13</f>
        <v>0.03</v>
      </c>
      <c r="D19" s="24" t="n">
        <f aca="false">B9*(1+B19)</f>
        <v>171936.6</v>
      </c>
      <c r="E19" s="18" t="n">
        <f aca="false">D9*(1+C19)</f>
        <v>0.885643298401853</v>
      </c>
      <c r="F19" s="11" t="n">
        <f aca="false">D19*E19</f>
        <v>152274.49754</v>
      </c>
    </row>
    <row r="20" customFormat="false" ht="15" hidden="false" customHeight="false" outlineLevel="0" collapsed="false">
      <c r="A20" s="15" t="str">
        <f aca="false">A10</f>
        <v>Other</v>
      </c>
      <c r="B20" s="23" t="n">
        <f aca="false">Assumptions!B14</f>
        <v>0.1</v>
      </c>
      <c r="C20" s="23" t="n">
        <f aca="false">Assumptions!C14</f>
        <v>0.03</v>
      </c>
      <c r="D20" s="24" t="n">
        <f aca="false">B10*(1+B20)</f>
        <v>487144.9</v>
      </c>
      <c r="E20" s="18" t="n">
        <f aca="false">D10*(1+C20)</f>
        <v>0.979157712048304</v>
      </c>
      <c r="F20" s="11" t="n">
        <f aca="false">D20*E20</f>
        <v>476991.68572</v>
      </c>
    </row>
    <row r="21" customFormat="false" ht="15" hidden="false" customHeight="false" outlineLevel="0" collapsed="false">
      <c r="A21" s="19" t="s">
        <v>13</v>
      </c>
      <c r="D21" s="20" t="n">
        <f aca="false">SUM(D15:D20)</f>
        <v>5746386.8</v>
      </c>
      <c r="F21" s="21" t="n">
        <f aca="false">SUM(F15:F20)</f>
        <v>10243853.64013</v>
      </c>
    </row>
    <row r="23" customFormat="false" ht="15" hidden="false" customHeight="false" outlineLevel="0" collapsed="false">
      <c r="A23" s="14" t="s">
        <v>39</v>
      </c>
    </row>
    <row r="24" customFormat="false" ht="15" hidden="false" customHeight="false" outlineLevel="0" collapsed="false">
      <c r="A24" s="6" t="s">
        <v>23</v>
      </c>
      <c r="B24" s="6" t="s">
        <v>40</v>
      </c>
      <c r="C24" s="6" t="s">
        <v>41</v>
      </c>
      <c r="D24" s="6" t="s">
        <v>42</v>
      </c>
      <c r="E24" s="6" t="s">
        <v>43</v>
      </c>
      <c r="F24" s="6" t="s">
        <v>44</v>
      </c>
    </row>
    <row r="25" customFormat="false" ht="15" hidden="false" customHeight="false" outlineLevel="0" collapsed="false">
      <c r="A25" s="15" t="str">
        <f aca="false">A5</f>
        <v>United Kingdom</v>
      </c>
      <c r="B25" s="16" t="n">
        <f aca="false">SUMIFS(Data!$D:$D,Data!$A:$A,Assumptions!$B$4,Data!$C:$C,$A25,Data!$B:$B,"&lt;=11")</f>
        <v>4060964</v>
      </c>
      <c r="C25" s="17" t="n">
        <f aca="false">SUMIFS(Data!$E:$E,Data!$A:$A,Assumptions!$B$4,Data!$C:$C,$A25,Data!$B:$B,"&lt;=11")</f>
        <v>7684331.01</v>
      </c>
      <c r="D25" s="18" t="n">
        <f aca="false">C25/B25</f>
        <v>1.89224307578201</v>
      </c>
      <c r="E25" s="11" t="n">
        <f aca="false">(B25-D15*($B$31/$D$21))*E15</f>
        <v>259956.026764067</v>
      </c>
      <c r="F25" s="11" t="n">
        <f aca="false">(D25-E15)*B25</f>
        <v>-28009.8055507684</v>
      </c>
    </row>
    <row r="26" customFormat="false" ht="15" hidden="false" customHeight="false" outlineLevel="0" collapsed="false">
      <c r="A26" s="15" t="str">
        <f aca="false">A6</f>
        <v>EIRE</v>
      </c>
      <c r="B26" s="16" t="n">
        <f aca="false">SUMIFS(Data!$D:$D,Data!$A:$A,Assumptions!$B$4,Data!$C:$C,$A26,Data!$B:$B,"&lt;=11")</f>
        <v>137281</v>
      </c>
      <c r="C26" s="17" t="n">
        <f aca="false">SUMIFS(Data!$E:$E,Data!$A:$A,Assumptions!$B$4,Data!$C:$C,$A26,Data!$B:$B,"&lt;=11")</f>
        <v>266079.81</v>
      </c>
      <c r="D26" s="18" t="n">
        <f aca="false">C26/B26</f>
        <v>1.93821293551183</v>
      </c>
      <c r="E26" s="11" t="n">
        <f aca="false">(B26-D16*($B$31/$D$21))*E16</f>
        <v>-65217.239030532</v>
      </c>
      <c r="F26" s="11" t="n">
        <f aca="false">(D26-E16)*B26</f>
        <v>-13294.6252371636</v>
      </c>
    </row>
    <row r="27" customFormat="false" ht="15" hidden="false" customHeight="false" outlineLevel="0" collapsed="false">
      <c r="A27" s="15" t="str">
        <f aca="false">A7</f>
        <v>Netherlands</v>
      </c>
      <c r="B27" s="16" t="n">
        <f aca="false">SUMIFS(Data!$D:$D,Data!$A:$A,Assumptions!$B$4,Data!$C:$C,$A27,Data!$B:$B,"&lt;=11")</f>
        <v>185592</v>
      </c>
      <c r="C27" s="17" t="n">
        <f aca="false">SUMIFS(Data!$E:$E,Data!$A:$A,Assumptions!$B$4,Data!$C:$C,$A27,Data!$B:$B,"&lt;=11")</f>
        <v>264933.84</v>
      </c>
      <c r="D27" s="18" t="n">
        <f aca="false">C27/B27</f>
        <v>1.42750678908574</v>
      </c>
      <c r="E27" s="11" t="n">
        <f aca="false">(B27-D17*($B$31/$D$21))*E17</f>
        <v>34930.2967630552</v>
      </c>
      <c r="F27" s="11" t="n">
        <f aca="false">(D27-E17)*B27</f>
        <v>-15544.2073541474</v>
      </c>
    </row>
    <row r="28" customFormat="false" ht="15" hidden="false" customHeight="false" outlineLevel="0" collapsed="false">
      <c r="A28" s="15" t="str">
        <f aca="false">A8</f>
        <v>Germany</v>
      </c>
      <c r="B28" s="16" t="n">
        <f aca="false">SUMIFS(Data!$D:$D,Data!$A:$A,Assumptions!$B$4,Data!$C:$C,$A28,Data!$B:$B,"&lt;=11")</f>
        <v>108378</v>
      </c>
      <c r="C28" s="17" t="n">
        <f aca="false">SUMIFS(Data!$E:$E,Data!$A:$A,Assumptions!$B$4,Data!$C:$C,$A28,Data!$B:$B,"&lt;=11")</f>
        <v>205641.83</v>
      </c>
      <c r="D28" s="18" t="n">
        <f aca="false">C28/B28</f>
        <v>1.89744994371551</v>
      </c>
      <c r="E28" s="11" t="n">
        <f aca="false">(B28-D18*($B$31/$D$21))*E18</f>
        <v>24845.9420730955</v>
      </c>
      <c r="F28" s="11" t="n">
        <f aca="false">(D28-E18)*B28</f>
        <v>-43.8619025918524</v>
      </c>
    </row>
    <row r="29" customFormat="false" ht="15" hidden="false" customHeight="false" outlineLevel="0" collapsed="false">
      <c r="A29" s="15" t="str">
        <f aca="false">A9</f>
        <v>France</v>
      </c>
      <c r="B29" s="16" t="n">
        <f aca="false">SUMIFS(Data!$D:$D,Data!$A:$A,Assumptions!$B$4,Data!$C:$C,$A29,Data!$B:$B,"&lt;=11")</f>
        <v>103329</v>
      </c>
      <c r="C29" s="17" t="n">
        <f aca="false">SUMIFS(Data!$E:$E,Data!$A:$A,Assumptions!$B$4,Data!$C:$C,$A29,Data!$B:$B,"&lt;=11")</f>
        <v>192821.88</v>
      </c>
      <c r="D29" s="18" t="n">
        <f aca="false">C29/B29</f>
        <v>1.86609644920593</v>
      </c>
      <c r="E29" s="11" t="n">
        <f aca="false">(B29-D19*($B$31/$D$21))*E19</f>
        <v>-38727.8571657227</v>
      </c>
      <c r="F29" s="11" t="n">
        <f aca="false">(D29-E19)*B29</f>
        <v>101309.243619435</v>
      </c>
    </row>
    <row r="30" customFormat="false" ht="15" hidden="false" customHeight="false" outlineLevel="0" collapsed="false">
      <c r="A30" s="15" t="str">
        <f aca="false">A10</f>
        <v>Other</v>
      </c>
      <c r="B30" s="16" t="n">
        <f aca="false">SUMIFS(Data!$D:$D,Data!$A:$A,Assumptions!$B$4,Data!$C:$C,$A30,Data!$B:$B,"&lt;=11")</f>
        <v>319345</v>
      </c>
      <c r="C30" s="17" t="n">
        <f aca="false">SUMIFS(Data!$E:$E,Data!$A:$A,Assumptions!$B$4,Data!$C:$C,$A30,Data!$B:$B,"&lt;=11")</f>
        <v>590337.35</v>
      </c>
      <c r="D30" s="18" t="n">
        <f aca="false">C30/B30</f>
        <v>1.84858804740954</v>
      </c>
      <c r="E30" s="11" t="n">
        <f aca="false">(B30-D20*($B$31/$D$21))*E20</f>
        <v>-95282.2319805516</v>
      </c>
      <c r="F30" s="11" t="n">
        <f aca="false">(D30-E20)*B30</f>
        <v>277648.230445934</v>
      </c>
    </row>
    <row r="31" customFormat="false" ht="15" hidden="false" customHeight="false" outlineLevel="0" collapsed="false">
      <c r="A31" s="19" t="s">
        <v>13</v>
      </c>
      <c r="B31" s="20" t="n">
        <f aca="false">SUM(B25:B30)</f>
        <v>4914889</v>
      </c>
      <c r="C31" s="21" t="n">
        <f aca="false">SUM(C25:C30)</f>
        <v>9204145.72</v>
      </c>
      <c r="E31" s="21" t="n">
        <f aca="false">SUM(E25:E30)</f>
        <v>120504.937423411</v>
      </c>
      <c r="F31" s="21" t="n">
        <f aca="false">SUM(F25:F30)</f>
        <v>322064.974020698</v>
      </c>
    </row>
    <row r="33" customFormat="false" ht="15" hidden="false" customHeight="false" outlineLevel="0" collapsed="false">
      <c r="A33" s="14" t="s">
        <v>45</v>
      </c>
    </row>
    <row r="34" customFormat="false" ht="15" hidden="false" customHeight="false" outlineLevel="0" collapsed="false">
      <c r="A34" s="19" t="s">
        <v>3</v>
      </c>
      <c r="B34" s="25" t="n">
        <f aca="false">F21</f>
        <v>10243853.64013</v>
      </c>
    </row>
    <row r="35" customFormat="false" ht="15" hidden="false" customHeight="false" outlineLevel="0" collapsed="false">
      <c r="A35" s="10" t="s">
        <v>46</v>
      </c>
      <c r="B35" s="11" t="n">
        <f aca="false">(B31-D21)*(F21/D21)</f>
        <v>-1482277.83157411</v>
      </c>
    </row>
    <row r="36" customFormat="false" ht="15" hidden="false" customHeight="false" outlineLevel="0" collapsed="false">
      <c r="A36" s="10" t="s">
        <v>43</v>
      </c>
      <c r="B36" s="11" t="n">
        <f aca="false">E31</f>
        <v>120504.937423411</v>
      </c>
    </row>
    <row r="37" customFormat="false" ht="15" hidden="false" customHeight="false" outlineLevel="0" collapsed="false">
      <c r="A37" s="10" t="s">
        <v>44</v>
      </c>
      <c r="B37" s="11" t="n">
        <f aca="false">F31</f>
        <v>322064.974020698</v>
      </c>
    </row>
    <row r="38" customFormat="false" ht="15" hidden="false" customHeight="false" outlineLevel="0" collapsed="false">
      <c r="A38" s="19" t="s">
        <v>4</v>
      </c>
      <c r="B38" s="25" t="n">
        <f aca="false">C31</f>
        <v>9204145.72</v>
      </c>
    </row>
    <row r="39" customFormat="false" ht="15" hidden="false" customHeight="false" outlineLevel="0" collapsed="false">
      <c r="A39" s="19" t="s">
        <v>5</v>
      </c>
      <c r="B39" s="25" t="n">
        <f aca="false">C31-F21</f>
        <v>-1039707.92013</v>
      </c>
    </row>
    <row r="40" customFormat="false" ht="15" hidden="false" customHeight="false" outlineLevel="0" collapsed="false">
      <c r="A40" s="10" t="s">
        <v>47</v>
      </c>
      <c r="B40" s="26" t="n">
        <f aca="false">(C31-F21)-(B35+B36+B37)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6"/>
  </cols>
  <sheetData>
    <row r="1" customFormat="false" ht="18.55" hidden="false" customHeight="false" outlineLevel="0" collapsed="false">
      <c r="A1" s="12" t="s">
        <v>48</v>
      </c>
    </row>
    <row r="3" customFormat="false" ht="15" hidden="false" customHeight="false" outlineLevel="0" collapsed="false">
      <c r="A3" s="19" t="s">
        <v>49</v>
      </c>
      <c r="B3" s="27" t="n">
        <v>2010</v>
      </c>
    </row>
    <row r="4" customFormat="false" ht="15" hidden="false" customHeight="false" outlineLevel="0" collapsed="false">
      <c r="A4" s="19" t="s">
        <v>50</v>
      </c>
      <c r="B4" s="27" t="n">
        <v>2011</v>
      </c>
    </row>
    <row r="6" customFormat="false" ht="15" hidden="false" customHeight="false" outlineLevel="0" collapsed="false">
      <c r="A6" s="13" t="s">
        <v>51</v>
      </c>
    </row>
    <row r="7" customFormat="false" ht="15" hidden="false" customHeight="false" outlineLevel="0" collapsed="false">
      <c r="A7" s="13" t="s">
        <v>52</v>
      </c>
    </row>
    <row r="8" customFormat="false" ht="15" hidden="false" customHeight="false" outlineLevel="0" collapsed="false">
      <c r="A8" s="6" t="s">
        <v>53</v>
      </c>
      <c r="B8" s="6" t="s">
        <v>54</v>
      </c>
      <c r="C8" s="6" t="s">
        <v>55</v>
      </c>
    </row>
    <row r="9" customFormat="false" ht="15" hidden="false" customHeight="false" outlineLevel="0" collapsed="false">
      <c r="A9" s="15" t="s">
        <v>27</v>
      </c>
      <c r="B9" s="28" t="n">
        <v>0.1</v>
      </c>
      <c r="C9" s="28" t="n">
        <v>0.03</v>
      </c>
    </row>
    <row r="10" customFormat="false" ht="15" hidden="false" customHeight="false" outlineLevel="0" collapsed="false">
      <c r="A10" s="15" t="s">
        <v>28</v>
      </c>
      <c r="B10" s="28" t="n">
        <v>0.1</v>
      </c>
      <c r="C10" s="28" t="n">
        <v>0.03</v>
      </c>
    </row>
    <row r="11" customFormat="false" ht="15" hidden="false" customHeight="false" outlineLevel="0" collapsed="false">
      <c r="A11" s="15" t="s">
        <v>29</v>
      </c>
      <c r="B11" s="28" t="n">
        <v>0.1</v>
      </c>
      <c r="C11" s="28" t="n">
        <v>0.03</v>
      </c>
    </row>
    <row r="12" customFormat="false" ht="15" hidden="false" customHeight="false" outlineLevel="0" collapsed="false">
      <c r="A12" s="15" t="s">
        <v>30</v>
      </c>
      <c r="B12" s="28" t="n">
        <v>0.1</v>
      </c>
      <c r="C12" s="28" t="n">
        <v>0.03</v>
      </c>
    </row>
    <row r="13" customFormat="false" ht="15" hidden="false" customHeight="false" outlineLevel="0" collapsed="false">
      <c r="A13" s="15" t="s">
        <v>31</v>
      </c>
      <c r="B13" s="28" t="n">
        <v>0.1</v>
      </c>
      <c r="C13" s="28" t="n">
        <v>0.03</v>
      </c>
    </row>
    <row r="14" customFormat="false" ht="15" hidden="false" customHeight="false" outlineLevel="0" collapsed="false">
      <c r="A14" s="15" t="s">
        <v>32</v>
      </c>
      <c r="B14" s="28" t="n">
        <v>0.1</v>
      </c>
      <c r="C14" s="28" t="n">
        <v>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8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6" min="6" style="1" width="12"/>
  </cols>
  <sheetData>
    <row r="1" customFormat="false" ht="18.55" hidden="false" customHeight="false" outlineLevel="0" collapsed="false">
      <c r="A1" s="12" t="s">
        <v>56</v>
      </c>
    </row>
    <row r="2" customFormat="false" ht="15" hidden="false" customHeight="false" outlineLevel="0" collapsed="false">
      <c r="A2" s="13" t="s">
        <v>57</v>
      </c>
    </row>
    <row r="4" customFormat="false" ht="15" hidden="false" customHeight="false" outlineLevel="0" collapsed="false">
      <c r="A4" s="6" t="s">
        <v>58</v>
      </c>
      <c r="B4" s="6" t="s">
        <v>59</v>
      </c>
      <c r="C4" s="6" t="s">
        <v>60</v>
      </c>
      <c r="D4" s="6" t="s">
        <v>61</v>
      </c>
      <c r="E4" s="6" t="s">
        <v>62</v>
      </c>
      <c r="F4" s="6" t="s">
        <v>63</v>
      </c>
    </row>
    <row r="5" customFormat="false" ht="15" hidden="false" customHeight="false" outlineLevel="0" collapsed="false">
      <c r="A5" s="10" t="n">
        <v>2009</v>
      </c>
      <c r="B5" s="10" t="n">
        <v>12</v>
      </c>
      <c r="C5" s="10" t="s">
        <v>28</v>
      </c>
      <c r="D5" s="24" t="n">
        <v>9414</v>
      </c>
      <c r="E5" s="11" t="n">
        <v>20099.74</v>
      </c>
      <c r="F5" s="18" t="n">
        <v>2.1351</v>
      </c>
    </row>
    <row r="6" customFormat="false" ht="15" hidden="false" customHeight="false" outlineLevel="0" collapsed="false">
      <c r="A6" s="10" t="n">
        <v>2009</v>
      </c>
      <c r="B6" s="10" t="n">
        <v>12</v>
      </c>
      <c r="C6" s="10" t="s">
        <v>31</v>
      </c>
      <c r="D6" s="24" t="n">
        <v>3688</v>
      </c>
      <c r="E6" s="11" t="n">
        <v>6521.69</v>
      </c>
      <c r="F6" s="18" t="n">
        <v>1.7684</v>
      </c>
    </row>
    <row r="7" customFormat="false" ht="15" hidden="false" customHeight="false" outlineLevel="0" collapsed="false">
      <c r="A7" s="10" t="n">
        <v>2009</v>
      </c>
      <c r="B7" s="10" t="n">
        <v>12</v>
      </c>
      <c r="C7" s="10" t="s">
        <v>30</v>
      </c>
      <c r="D7" s="24" t="n">
        <v>4828</v>
      </c>
      <c r="E7" s="11" t="n">
        <v>10096.85</v>
      </c>
      <c r="F7" s="18" t="n">
        <v>2.0913</v>
      </c>
    </row>
    <row r="8" customFormat="false" ht="15" hidden="false" customHeight="false" outlineLevel="0" collapsed="false">
      <c r="A8" s="10" t="n">
        <v>2009</v>
      </c>
      <c r="B8" s="10" t="n">
        <v>12</v>
      </c>
      <c r="C8" s="10" t="s">
        <v>29</v>
      </c>
      <c r="D8" s="24" t="n">
        <v>10822</v>
      </c>
      <c r="E8" s="11" t="n">
        <v>15204.73</v>
      </c>
      <c r="F8" s="18" t="n">
        <v>1.405</v>
      </c>
    </row>
    <row r="9" customFormat="false" ht="15" hidden="false" customHeight="false" outlineLevel="0" collapsed="false">
      <c r="A9" s="10" t="n">
        <v>2009</v>
      </c>
      <c r="B9" s="10" t="n">
        <v>12</v>
      </c>
      <c r="C9" s="10" t="s">
        <v>32</v>
      </c>
      <c r="D9" s="24" t="n">
        <v>10417</v>
      </c>
      <c r="E9" s="11" t="n">
        <v>23445.53</v>
      </c>
      <c r="F9" s="18" t="n">
        <v>2.2507</v>
      </c>
    </row>
    <row r="10" customFormat="false" ht="15" hidden="false" customHeight="false" outlineLevel="0" collapsed="false">
      <c r="A10" s="10" t="n">
        <v>2009</v>
      </c>
      <c r="B10" s="10" t="n">
        <v>12</v>
      </c>
      <c r="C10" s="10" t="s">
        <v>27</v>
      </c>
      <c r="D10" s="24" t="n">
        <v>387812</v>
      </c>
      <c r="E10" s="11" t="n">
        <v>750317.22</v>
      </c>
      <c r="F10" s="18" t="n">
        <v>1.9347</v>
      </c>
    </row>
    <row r="11" customFormat="false" ht="15" hidden="false" customHeight="false" outlineLevel="0" collapsed="false">
      <c r="A11" s="10" t="n">
        <v>2010</v>
      </c>
      <c r="B11" s="10" t="n">
        <v>1</v>
      </c>
      <c r="C11" s="10" t="s">
        <v>28</v>
      </c>
      <c r="D11" s="24" t="n">
        <v>30809</v>
      </c>
      <c r="E11" s="11" t="n">
        <v>65258.43</v>
      </c>
      <c r="F11" s="18" t="n">
        <v>2.1182</v>
      </c>
    </row>
    <row r="12" customFormat="false" ht="15" hidden="false" customHeight="false" outlineLevel="0" collapsed="false">
      <c r="A12" s="10" t="n">
        <v>2010</v>
      </c>
      <c r="B12" s="10" t="n">
        <v>1</v>
      </c>
      <c r="C12" s="10" t="s">
        <v>31</v>
      </c>
      <c r="D12" s="24" t="n">
        <v>5313</v>
      </c>
      <c r="E12" s="11" t="n">
        <v>8465.63</v>
      </c>
      <c r="F12" s="18" t="n">
        <v>1.5934</v>
      </c>
    </row>
    <row r="13" customFormat="false" ht="15" hidden="false" customHeight="false" outlineLevel="0" collapsed="false">
      <c r="A13" s="10" t="n">
        <v>2010</v>
      </c>
      <c r="B13" s="10" t="n">
        <v>1</v>
      </c>
      <c r="C13" s="10" t="s">
        <v>30</v>
      </c>
      <c r="D13" s="24" t="n">
        <v>6321</v>
      </c>
      <c r="E13" s="11" t="n">
        <v>12562.11</v>
      </c>
      <c r="F13" s="18" t="n">
        <v>1.9874</v>
      </c>
    </row>
    <row r="14" customFormat="false" ht="15" hidden="false" customHeight="false" outlineLevel="0" collapsed="false">
      <c r="A14" s="10" t="n">
        <v>2010</v>
      </c>
      <c r="B14" s="10" t="n">
        <v>1</v>
      </c>
      <c r="C14" s="10" t="s">
        <v>29</v>
      </c>
      <c r="D14" s="24" t="n">
        <v>20531</v>
      </c>
      <c r="E14" s="11" t="n">
        <v>29230.77</v>
      </c>
      <c r="F14" s="18" t="n">
        <v>1.4237</v>
      </c>
    </row>
    <row r="15" customFormat="false" ht="15" hidden="false" customHeight="false" outlineLevel="0" collapsed="false">
      <c r="A15" s="10" t="n">
        <v>2010</v>
      </c>
      <c r="B15" s="10" t="n">
        <v>1</v>
      </c>
      <c r="C15" s="10" t="s">
        <v>32</v>
      </c>
      <c r="D15" s="24" t="n">
        <v>70993</v>
      </c>
      <c r="E15" s="11" t="n">
        <v>25393.9</v>
      </c>
      <c r="F15" s="18" t="n">
        <v>0.3577</v>
      </c>
    </row>
    <row r="16" customFormat="false" ht="15" hidden="false" customHeight="false" outlineLevel="0" collapsed="false">
      <c r="A16" s="10" t="n">
        <v>2010</v>
      </c>
      <c r="B16" s="10" t="n">
        <v>1</v>
      </c>
      <c r="C16" s="10" t="s">
        <v>27</v>
      </c>
      <c r="D16" s="24" t="n">
        <v>257558</v>
      </c>
      <c r="E16" s="11" t="n">
        <v>511797.66</v>
      </c>
      <c r="F16" s="18" t="n">
        <v>1.9871</v>
      </c>
    </row>
    <row r="17" customFormat="false" ht="15" hidden="false" customHeight="false" outlineLevel="0" collapsed="false">
      <c r="A17" s="10" t="n">
        <v>2010</v>
      </c>
      <c r="B17" s="10" t="n">
        <v>2</v>
      </c>
      <c r="C17" s="10" t="s">
        <v>28</v>
      </c>
      <c r="D17" s="24" t="n">
        <v>11631</v>
      </c>
      <c r="E17" s="11" t="n">
        <v>21538.8</v>
      </c>
      <c r="F17" s="18" t="n">
        <v>1.8518</v>
      </c>
    </row>
    <row r="18" customFormat="false" ht="15" hidden="false" customHeight="false" outlineLevel="0" collapsed="false">
      <c r="A18" s="10" t="n">
        <v>2010</v>
      </c>
      <c r="B18" s="10" t="n">
        <v>2</v>
      </c>
      <c r="C18" s="10" t="s">
        <v>31</v>
      </c>
      <c r="D18" s="24" t="n">
        <v>4996</v>
      </c>
      <c r="E18" s="11" t="n">
        <v>9024.16</v>
      </c>
      <c r="F18" s="18" t="n">
        <v>1.8063</v>
      </c>
    </row>
    <row r="19" customFormat="false" ht="15" hidden="false" customHeight="false" outlineLevel="0" collapsed="false">
      <c r="A19" s="10" t="n">
        <v>2010</v>
      </c>
      <c r="B19" s="10" t="n">
        <v>2</v>
      </c>
      <c r="C19" s="10" t="s">
        <v>30</v>
      </c>
      <c r="D19" s="24" t="n">
        <v>4789</v>
      </c>
      <c r="E19" s="11" t="n">
        <v>9124.25</v>
      </c>
      <c r="F19" s="18" t="n">
        <v>1.9053</v>
      </c>
    </row>
    <row r="20" customFormat="false" ht="15" hidden="false" customHeight="false" outlineLevel="0" collapsed="false">
      <c r="A20" s="10" t="n">
        <v>2010</v>
      </c>
      <c r="B20" s="10" t="n">
        <v>2</v>
      </c>
      <c r="C20" s="10" t="s">
        <v>29</v>
      </c>
      <c r="D20" s="24" t="n">
        <v>9883</v>
      </c>
      <c r="E20" s="11" t="n">
        <v>17255.39</v>
      </c>
      <c r="F20" s="18" t="n">
        <v>1.746</v>
      </c>
    </row>
    <row r="21" customFormat="false" ht="15" hidden="false" customHeight="false" outlineLevel="0" collapsed="false">
      <c r="A21" s="10" t="n">
        <v>2010</v>
      </c>
      <c r="B21" s="10" t="n">
        <v>2</v>
      </c>
      <c r="C21" s="10" t="s">
        <v>32</v>
      </c>
      <c r="D21" s="24" t="n">
        <v>107855</v>
      </c>
      <c r="E21" s="11" t="n">
        <v>41634.42</v>
      </c>
      <c r="F21" s="18" t="n">
        <v>0.386</v>
      </c>
    </row>
    <row r="22" customFormat="false" ht="15" hidden="false" customHeight="false" outlineLevel="0" collapsed="false">
      <c r="A22" s="10" t="n">
        <v>2010</v>
      </c>
      <c r="B22" s="10" t="n">
        <v>2</v>
      </c>
      <c r="C22" s="10" t="s">
        <v>27</v>
      </c>
      <c r="D22" s="24" t="n">
        <v>243627</v>
      </c>
      <c r="E22" s="11" t="n">
        <v>454762.72</v>
      </c>
      <c r="F22" s="18" t="n">
        <v>1.8666</v>
      </c>
    </row>
    <row r="23" customFormat="false" ht="15" hidden="false" customHeight="false" outlineLevel="0" collapsed="false">
      <c r="A23" s="10" t="n">
        <v>2010</v>
      </c>
      <c r="B23" s="10" t="n">
        <v>3</v>
      </c>
      <c r="C23" s="10" t="s">
        <v>28</v>
      </c>
      <c r="D23" s="24" t="n">
        <v>14797</v>
      </c>
      <c r="E23" s="11" t="n">
        <v>22989.46</v>
      </c>
      <c r="F23" s="18" t="n">
        <v>1.5537</v>
      </c>
    </row>
    <row r="24" customFormat="false" ht="15" hidden="false" customHeight="false" outlineLevel="0" collapsed="false">
      <c r="A24" s="10" t="n">
        <v>2010</v>
      </c>
      <c r="B24" s="10" t="n">
        <v>3</v>
      </c>
      <c r="C24" s="10" t="s">
        <v>31</v>
      </c>
      <c r="D24" s="24" t="n">
        <v>4553</v>
      </c>
      <c r="E24" s="11" t="n">
        <v>8657.59</v>
      </c>
      <c r="F24" s="18" t="n">
        <v>1.9015</v>
      </c>
    </row>
    <row r="25" customFormat="false" ht="15" hidden="false" customHeight="false" outlineLevel="0" collapsed="false">
      <c r="A25" s="10" t="n">
        <v>2010</v>
      </c>
      <c r="B25" s="10" t="n">
        <v>3</v>
      </c>
      <c r="C25" s="10" t="s">
        <v>30</v>
      </c>
      <c r="D25" s="24" t="n">
        <v>8883</v>
      </c>
      <c r="E25" s="11" t="n">
        <v>16698.08</v>
      </c>
      <c r="F25" s="18" t="n">
        <v>1.8798</v>
      </c>
    </row>
    <row r="26" customFormat="false" ht="15" hidden="false" customHeight="false" outlineLevel="0" collapsed="false">
      <c r="A26" s="10" t="n">
        <v>2010</v>
      </c>
      <c r="B26" s="10" t="n">
        <v>3</v>
      </c>
      <c r="C26" s="10" t="s">
        <v>29</v>
      </c>
      <c r="D26" s="24" t="n">
        <v>16662</v>
      </c>
      <c r="E26" s="11" t="n">
        <v>24447.98</v>
      </c>
      <c r="F26" s="18" t="n">
        <v>1.4673</v>
      </c>
    </row>
    <row r="27" customFormat="false" ht="15" hidden="false" customHeight="false" outlineLevel="0" collapsed="false">
      <c r="A27" s="10" t="n">
        <v>2010</v>
      </c>
      <c r="B27" s="10" t="n">
        <v>3</v>
      </c>
      <c r="C27" s="10" t="s">
        <v>32</v>
      </c>
      <c r="D27" s="24" t="n">
        <v>76233</v>
      </c>
      <c r="E27" s="11" t="n">
        <v>39246.81</v>
      </c>
      <c r="F27" s="18" t="n">
        <v>0.5148</v>
      </c>
    </row>
    <row r="28" customFormat="false" ht="15" hidden="false" customHeight="false" outlineLevel="0" collapsed="false">
      <c r="A28" s="10" t="n">
        <v>2010</v>
      </c>
      <c r="B28" s="10" t="n">
        <v>3</v>
      </c>
      <c r="C28" s="10" t="s">
        <v>27</v>
      </c>
      <c r="D28" s="24" t="n">
        <v>406273</v>
      </c>
      <c r="E28" s="11" t="n">
        <v>721530.21</v>
      </c>
      <c r="F28" s="18" t="n">
        <v>1.776</v>
      </c>
    </row>
    <row r="29" customFormat="false" ht="15" hidden="false" customHeight="false" outlineLevel="0" collapsed="false">
      <c r="A29" s="10" t="n">
        <v>2010</v>
      </c>
      <c r="B29" s="10" t="n">
        <v>4</v>
      </c>
      <c r="C29" s="10" t="s">
        <v>28</v>
      </c>
      <c r="D29" s="24" t="n">
        <v>13793</v>
      </c>
      <c r="E29" s="11" t="n">
        <v>23929.48</v>
      </c>
      <c r="F29" s="18" t="n">
        <v>1.7349</v>
      </c>
    </row>
    <row r="30" customFormat="false" ht="15" hidden="false" customHeight="false" outlineLevel="0" collapsed="false">
      <c r="A30" s="10" t="n">
        <v>2010</v>
      </c>
      <c r="B30" s="10" t="n">
        <v>4</v>
      </c>
      <c r="C30" s="10" t="s">
        <v>31</v>
      </c>
      <c r="D30" s="24" t="n">
        <v>4156</v>
      </c>
      <c r="E30" s="11" t="n">
        <v>7642.98</v>
      </c>
      <c r="F30" s="18" t="n">
        <v>1.839</v>
      </c>
    </row>
    <row r="31" customFormat="false" ht="15" hidden="false" customHeight="false" outlineLevel="0" collapsed="false">
      <c r="A31" s="10" t="n">
        <v>2010</v>
      </c>
      <c r="B31" s="10" t="n">
        <v>4</v>
      </c>
      <c r="C31" s="10" t="s">
        <v>30</v>
      </c>
      <c r="D31" s="24" t="n">
        <v>12557</v>
      </c>
      <c r="E31" s="11" t="n">
        <v>23683.23</v>
      </c>
      <c r="F31" s="18" t="n">
        <v>1.8861</v>
      </c>
    </row>
    <row r="32" customFormat="false" ht="15" hidden="false" customHeight="false" outlineLevel="0" collapsed="false">
      <c r="A32" s="10" t="n">
        <v>2010</v>
      </c>
      <c r="B32" s="10" t="n">
        <v>4</v>
      </c>
      <c r="C32" s="10" t="s">
        <v>29</v>
      </c>
      <c r="D32" s="24" t="n">
        <v>4944</v>
      </c>
      <c r="E32" s="11" t="n">
        <v>6888.78</v>
      </c>
      <c r="F32" s="18" t="n">
        <v>1.3934</v>
      </c>
    </row>
    <row r="33" customFormat="false" ht="15" hidden="false" customHeight="false" outlineLevel="0" collapsed="false">
      <c r="A33" s="10" t="n">
        <v>2010</v>
      </c>
      <c r="B33" s="10" t="n">
        <v>4</v>
      </c>
      <c r="C33" s="10" t="s">
        <v>32</v>
      </c>
      <c r="D33" s="24" t="n">
        <v>28252</v>
      </c>
      <c r="E33" s="11" t="n">
        <v>34774.79</v>
      </c>
      <c r="F33" s="18" t="n">
        <v>1.2309</v>
      </c>
    </row>
    <row r="34" customFormat="false" ht="15" hidden="false" customHeight="false" outlineLevel="0" collapsed="false">
      <c r="A34" s="10" t="n">
        <v>2010</v>
      </c>
      <c r="B34" s="10" t="n">
        <v>4</v>
      </c>
      <c r="C34" s="10" t="s">
        <v>27</v>
      </c>
      <c r="D34" s="24" t="n">
        <v>304496</v>
      </c>
      <c r="E34" s="11" t="n">
        <v>584609.73</v>
      </c>
      <c r="F34" s="18" t="n">
        <v>1.9199</v>
      </c>
    </row>
    <row r="35" customFormat="false" ht="15" hidden="false" customHeight="false" outlineLevel="0" collapsed="false">
      <c r="A35" s="10" t="n">
        <v>2010</v>
      </c>
      <c r="B35" s="10" t="n">
        <v>5</v>
      </c>
      <c r="C35" s="10" t="s">
        <v>28</v>
      </c>
      <c r="D35" s="24" t="n">
        <v>9754</v>
      </c>
      <c r="E35" s="11" t="n">
        <v>19121.93</v>
      </c>
      <c r="F35" s="18" t="n">
        <v>1.9604</v>
      </c>
    </row>
    <row r="36" customFormat="false" ht="15" hidden="false" customHeight="false" outlineLevel="0" collapsed="false">
      <c r="A36" s="10" t="n">
        <v>2010</v>
      </c>
      <c r="B36" s="10" t="n">
        <v>5</v>
      </c>
      <c r="C36" s="10" t="s">
        <v>31</v>
      </c>
      <c r="D36" s="24" t="n">
        <v>8941</v>
      </c>
      <c r="E36" s="11" t="n">
        <v>13958.15</v>
      </c>
      <c r="F36" s="18" t="n">
        <v>1.5611</v>
      </c>
    </row>
    <row r="37" customFormat="false" ht="15" hidden="false" customHeight="false" outlineLevel="0" collapsed="false">
      <c r="A37" s="10" t="n">
        <v>2010</v>
      </c>
      <c r="B37" s="10" t="n">
        <v>5</v>
      </c>
      <c r="C37" s="10" t="s">
        <v>30</v>
      </c>
      <c r="D37" s="24" t="n">
        <v>4246</v>
      </c>
      <c r="E37" s="11" t="n">
        <v>9108.36</v>
      </c>
      <c r="F37" s="18" t="n">
        <v>2.1452</v>
      </c>
    </row>
    <row r="38" customFormat="false" ht="15" hidden="false" customHeight="false" outlineLevel="0" collapsed="false">
      <c r="A38" s="10" t="n">
        <v>2010</v>
      </c>
      <c r="B38" s="10" t="n">
        <v>5</v>
      </c>
      <c r="C38" s="10" t="s">
        <v>29</v>
      </c>
      <c r="D38" s="24" t="n">
        <v>14910</v>
      </c>
      <c r="E38" s="11" t="n">
        <v>22416.53</v>
      </c>
      <c r="F38" s="18" t="n">
        <v>1.5035</v>
      </c>
    </row>
    <row r="39" customFormat="false" ht="15" hidden="false" customHeight="false" outlineLevel="0" collapsed="false">
      <c r="A39" s="10" t="n">
        <v>2010</v>
      </c>
      <c r="B39" s="10" t="n">
        <v>5</v>
      </c>
      <c r="C39" s="10" t="s">
        <v>32</v>
      </c>
      <c r="D39" s="24" t="n">
        <v>20637</v>
      </c>
      <c r="E39" s="11" t="n">
        <v>35066.08</v>
      </c>
      <c r="F39" s="18" t="n">
        <v>1.6992</v>
      </c>
    </row>
    <row r="40" customFormat="false" ht="15" hidden="false" customHeight="false" outlineLevel="0" collapsed="false">
      <c r="A40" s="10" t="n">
        <v>2010</v>
      </c>
      <c r="B40" s="10" t="n">
        <v>5</v>
      </c>
      <c r="C40" s="10" t="s">
        <v>27</v>
      </c>
      <c r="D40" s="24" t="n">
        <v>338718</v>
      </c>
      <c r="E40" s="11" t="n">
        <v>560187.81</v>
      </c>
      <c r="F40" s="18" t="n">
        <v>1.6538</v>
      </c>
    </row>
    <row r="41" customFormat="false" ht="15" hidden="false" customHeight="false" outlineLevel="0" collapsed="false">
      <c r="A41" s="10" t="n">
        <v>2010</v>
      </c>
      <c r="B41" s="10" t="n">
        <v>6</v>
      </c>
      <c r="C41" s="10" t="s">
        <v>28</v>
      </c>
      <c r="D41" s="24" t="n">
        <v>12306</v>
      </c>
      <c r="E41" s="11" t="n">
        <v>22934.34</v>
      </c>
      <c r="F41" s="18" t="n">
        <v>1.8637</v>
      </c>
    </row>
    <row r="42" customFormat="false" ht="15" hidden="false" customHeight="false" outlineLevel="0" collapsed="false">
      <c r="A42" s="10" t="n">
        <v>2010</v>
      </c>
      <c r="B42" s="10" t="n">
        <v>6</v>
      </c>
      <c r="C42" s="10" t="s">
        <v>31</v>
      </c>
      <c r="D42" s="24" t="n">
        <v>5709</v>
      </c>
      <c r="E42" s="11" t="n">
        <v>9172.54</v>
      </c>
      <c r="F42" s="18" t="n">
        <v>1.6067</v>
      </c>
    </row>
    <row r="43" customFormat="false" ht="15" hidden="false" customHeight="false" outlineLevel="0" collapsed="false">
      <c r="A43" s="10" t="n">
        <v>2010</v>
      </c>
      <c r="B43" s="10" t="n">
        <v>6</v>
      </c>
      <c r="C43" s="10" t="s">
        <v>30</v>
      </c>
      <c r="D43" s="24" t="n">
        <v>9326</v>
      </c>
      <c r="E43" s="11" t="n">
        <v>15678.63</v>
      </c>
      <c r="F43" s="18" t="n">
        <v>1.6812</v>
      </c>
    </row>
    <row r="44" customFormat="false" ht="15" hidden="false" customHeight="false" outlineLevel="0" collapsed="false">
      <c r="A44" s="10" t="n">
        <v>2010</v>
      </c>
      <c r="B44" s="10" t="n">
        <v>6</v>
      </c>
      <c r="C44" s="10" t="s">
        <v>29</v>
      </c>
      <c r="D44" s="24" t="n">
        <v>15761</v>
      </c>
      <c r="E44" s="11" t="n">
        <v>24224.51</v>
      </c>
      <c r="F44" s="18" t="n">
        <v>1.537</v>
      </c>
    </row>
    <row r="45" customFormat="false" ht="15" hidden="false" customHeight="false" outlineLevel="0" collapsed="false">
      <c r="A45" s="10" t="n">
        <v>2010</v>
      </c>
      <c r="B45" s="10" t="n">
        <v>6</v>
      </c>
      <c r="C45" s="10" t="s">
        <v>32</v>
      </c>
      <c r="D45" s="24" t="n">
        <v>16449</v>
      </c>
      <c r="E45" s="11" t="n">
        <v>27847.63</v>
      </c>
      <c r="F45" s="18" t="n">
        <v>1.693</v>
      </c>
    </row>
    <row r="46" customFormat="false" ht="15" hidden="false" customHeight="false" outlineLevel="0" collapsed="false">
      <c r="A46" s="10" t="n">
        <v>2010</v>
      </c>
      <c r="B46" s="10" t="n">
        <v>6</v>
      </c>
      <c r="C46" s="10" t="s">
        <v>27</v>
      </c>
      <c r="D46" s="24" t="n">
        <v>349085</v>
      </c>
      <c r="E46" s="11" t="n">
        <v>652412.49</v>
      </c>
      <c r="F46" s="18" t="n">
        <v>1.8689</v>
      </c>
    </row>
    <row r="47" customFormat="false" ht="15" hidden="false" customHeight="false" outlineLevel="0" collapsed="false">
      <c r="A47" s="10" t="n">
        <v>2010</v>
      </c>
      <c r="B47" s="10" t="n">
        <v>7</v>
      </c>
      <c r="C47" s="10" t="s">
        <v>28</v>
      </c>
      <c r="D47" s="24" t="n">
        <v>15415</v>
      </c>
      <c r="E47" s="11" t="n">
        <v>35722.32</v>
      </c>
      <c r="F47" s="18" t="n">
        <v>2.3174</v>
      </c>
    </row>
    <row r="48" customFormat="false" ht="15" hidden="false" customHeight="false" outlineLevel="0" collapsed="false">
      <c r="A48" s="10" t="n">
        <v>2010</v>
      </c>
      <c r="B48" s="10" t="n">
        <v>7</v>
      </c>
      <c r="C48" s="10" t="s">
        <v>31</v>
      </c>
      <c r="D48" s="24" t="n">
        <v>4138</v>
      </c>
      <c r="E48" s="11" t="n">
        <v>11546.64</v>
      </c>
      <c r="F48" s="18" t="n">
        <v>2.7904</v>
      </c>
    </row>
    <row r="49" customFormat="false" ht="15" hidden="false" customHeight="false" outlineLevel="0" collapsed="false">
      <c r="A49" s="10" t="n">
        <v>2010</v>
      </c>
      <c r="B49" s="10" t="n">
        <v>7</v>
      </c>
      <c r="C49" s="10" t="s">
        <v>30</v>
      </c>
      <c r="D49" s="24" t="n">
        <v>13100</v>
      </c>
      <c r="E49" s="11" t="n">
        <v>20274.29</v>
      </c>
      <c r="F49" s="18" t="n">
        <v>1.5477</v>
      </c>
    </row>
    <row r="50" customFormat="false" ht="15" hidden="false" customHeight="false" outlineLevel="0" collapsed="false">
      <c r="A50" s="10" t="n">
        <v>2010</v>
      </c>
      <c r="B50" s="10" t="n">
        <v>7</v>
      </c>
      <c r="C50" s="10" t="s">
        <v>29</v>
      </c>
      <c r="D50" s="24" t="n">
        <v>3410</v>
      </c>
      <c r="E50" s="11" t="n">
        <v>5534.29</v>
      </c>
      <c r="F50" s="18" t="n">
        <v>1.623</v>
      </c>
    </row>
    <row r="51" customFormat="false" ht="15" hidden="false" customHeight="false" outlineLevel="0" collapsed="false">
      <c r="A51" s="10" t="n">
        <v>2010</v>
      </c>
      <c r="B51" s="10" t="n">
        <v>7</v>
      </c>
      <c r="C51" s="10" t="s">
        <v>32</v>
      </c>
      <c r="D51" s="24" t="n">
        <v>10577</v>
      </c>
      <c r="E51" s="11" t="n">
        <v>18192.86</v>
      </c>
      <c r="F51" s="18" t="n">
        <v>1.72</v>
      </c>
    </row>
    <row r="52" customFormat="false" ht="15" hidden="false" customHeight="false" outlineLevel="0" collapsed="false">
      <c r="A52" s="10" t="n">
        <v>2010</v>
      </c>
      <c r="B52" s="10" t="n">
        <v>7</v>
      </c>
      <c r="C52" s="10" t="s">
        <v>27</v>
      </c>
      <c r="D52" s="24" t="n">
        <v>292280</v>
      </c>
      <c r="E52" s="11" t="n">
        <v>559442.54</v>
      </c>
      <c r="F52" s="18" t="n">
        <v>1.9141</v>
      </c>
    </row>
    <row r="53" customFormat="false" ht="15" hidden="false" customHeight="false" outlineLevel="0" collapsed="false">
      <c r="A53" s="10" t="n">
        <v>2010</v>
      </c>
      <c r="B53" s="10" t="n">
        <v>8</v>
      </c>
      <c r="C53" s="10" t="s">
        <v>28</v>
      </c>
      <c r="D53" s="24" t="n">
        <v>15808</v>
      </c>
      <c r="E53" s="11" t="n">
        <v>26005.71</v>
      </c>
      <c r="F53" s="18" t="n">
        <v>1.6451</v>
      </c>
    </row>
    <row r="54" customFormat="false" ht="15" hidden="false" customHeight="false" outlineLevel="0" collapsed="false">
      <c r="A54" s="10" t="n">
        <v>2010</v>
      </c>
      <c r="B54" s="10" t="n">
        <v>8</v>
      </c>
      <c r="C54" s="10" t="s">
        <v>31</v>
      </c>
      <c r="D54" s="24" t="n">
        <v>89914</v>
      </c>
      <c r="E54" s="11" t="n">
        <v>16570.32</v>
      </c>
      <c r="F54" s="18" t="n">
        <v>0.1843</v>
      </c>
    </row>
    <row r="55" customFormat="false" ht="15" hidden="false" customHeight="false" outlineLevel="0" collapsed="false">
      <c r="A55" s="10" t="n">
        <v>2010</v>
      </c>
      <c r="B55" s="10" t="n">
        <v>8</v>
      </c>
      <c r="C55" s="10" t="s">
        <v>30</v>
      </c>
      <c r="D55" s="24" t="n">
        <v>5264</v>
      </c>
      <c r="E55" s="11" t="n">
        <v>9943.12</v>
      </c>
      <c r="F55" s="18" t="n">
        <v>1.8889</v>
      </c>
    </row>
    <row r="56" customFormat="false" ht="15" hidden="false" customHeight="false" outlineLevel="0" collapsed="false">
      <c r="A56" s="10" t="n">
        <v>2010</v>
      </c>
      <c r="B56" s="10" t="n">
        <v>8</v>
      </c>
      <c r="C56" s="10" t="s">
        <v>29</v>
      </c>
      <c r="D56" s="24" t="n">
        <v>17667</v>
      </c>
      <c r="E56" s="11" t="n">
        <v>25028.69</v>
      </c>
      <c r="F56" s="18" t="n">
        <v>1.4167</v>
      </c>
    </row>
    <row r="57" customFormat="false" ht="15" hidden="false" customHeight="false" outlineLevel="0" collapsed="false">
      <c r="A57" s="10" t="n">
        <v>2010</v>
      </c>
      <c r="B57" s="10" t="n">
        <v>8</v>
      </c>
      <c r="C57" s="10" t="s">
        <v>32</v>
      </c>
      <c r="D57" s="24" t="n">
        <v>11860</v>
      </c>
      <c r="E57" s="11" t="n">
        <v>23176.72</v>
      </c>
      <c r="F57" s="18" t="n">
        <v>1.9542</v>
      </c>
    </row>
    <row r="58" customFormat="false" ht="15" hidden="false" customHeight="false" outlineLevel="0" collapsed="false">
      <c r="A58" s="10" t="n">
        <v>2010</v>
      </c>
      <c r="B58" s="10" t="n">
        <v>8</v>
      </c>
      <c r="C58" s="10" t="s">
        <v>27</v>
      </c>
      <c r="D58" s="24" t="n">
        <v>332907</v>
      </c>
      <c r="E58" s="11" t="n">
        <v>596550.35</v>
      </c>
      <c r="F58" s="18" t="n">
        <v>1.7919</v>
      </c>
    </row>
    <row r="59" customFormat="false" ht="15" hidden="false" customHeight="false" outlineLevel="0" collapsed="false">
      <c r="A59" s="10" t="n">
        <v>2010</v>
      </c>
      <c r="B59" s="10" t="n">
        <v>9</v>
      </c>
      <c r="C59" s="10" t="s">
        <v>28</v>
      </c>
      <c r="D59" s="24" t="n">
        <v>20120</v>
      </c>
      <c r="E59" s="11" t="n">
        <v>36984.47</v>
      </c>
      <c r="F59" s="18" t="n">
        <v>1.8382</v>
      </c>
    </row>
    <row r="60" customFormat="false" ht="15" hidden="false" customHeight="false" outlineLevel="0" collapsed="false">
      <c r="A60" s="10" t="n">
        <v>2010</v>
      </c>
      <c r="B60" s="10" t="n">
        <v>9</v>
      </c>
      <c r="C60" s="10" t="s">
        <v>31</v>
      </c>
      <c r="D60" s="24" t="n">
        <v>6960</v>
      </c>
      <c r="E60" s="11" t="n">
        <v>14531.33</v>
      </c>
      <c r="F60" s="18" t="n">
        <v>2.0878</v>
      </c>
    </row>
    <row r="61" customFormat="false" ht="15" hidden="false" customHeight="false" outlineLevel="0" collapsed="false">
      <c r="A61" s="10" t="n">
        <v>2010</v>
      </c>
      <c r="B61" s="10" t="n">
        <v>9</v>
      </c>
      <c r="C61" s="10" t="s">
        <v>30</v>
      </c>
      <c r="D61" s="24" t="n">
        <v>9257</v>
      </c>
      <c r="E61" s="11" t="n">
        <v>17740.18</v>
      </c>
      <c r="F61" s="18" t="n">
        <v>1.9164</v>
      </c>
    </row>
    <row r="62" customFormat="false" ht="15" hidden="false" customHeight="false" outlineLevel="0" collapsed="false">
      <c r="A62" s="10" t="n">
        <v>2010</v>
      </c>
      <c r="B62" s="10" t="n">
        <v>9</v>
      </c>
      <c r="C62" s="10" t="s">
        <v>29</v>
      </c>
      <c r="D62" s="24" t="n">
        <v>29199</v>
      </c>
      <c r="E62" s="11" t="n">
        <v>45037.14</v>
      </c>
      <c r="F62" s="18" t="n">
        <v>1.5424</v>
      </c>
    </row>
    <row r="63" customFormat="false" ht="15" hidden="false" customHeight="false" outlineLevel="0" collapsed="false">
      <c r="A63" s="10" t="n">
        <v>2010</v>
      </c>
      <c r="B63" s="10" t="n">
        <v>9</v>
      </c>
      <c r="C63" s="10" t="s">
        <v>32</v>
      </c>
      <c r="D63" s="24" t="n">
        <v>23666</v>
      </c>
      <c r="E63" s="11" t="n">
        <v>36966.39</v>
      </c>
      <c r="F63" s="18" t="n">
        <v>1.562</v>
      </c>
    </row>
    <row r="64" customFormat="false" ht="15" hidden="false" customHeight="false" outlineLevel="0" collapsed="false">
      <c r="A64" s="10" t="n">
        <v>2010</v>
      </c>
      <c r="B64" s="10" t="n">
        <v>9</v>
      </c>
      <c r="C64" s="10" t="s">
        <v>27</v>
      </c>
      <c r="D64" s="24" t="n">
        <v>496155</v>
      </c>
      <c r="E64" s="11" t="n">
        <v>773073.5</v>
      </c>
      <c r="F64" s="18" t="n">
        <v>1.5581</v>
      </c>
    </row>
    <row r="65" customFormat="false" ht="15" hidden="false" customHeight="false" outlineLevel="0" collapsed="false">
      <c r="A65" s="10" t="n">
        <v>2010</v>
      </c>
      <c r="B65" s="10" t="n">
        <v>10</v>
      </c>
      <c r="C65" s="10" t="s">
        <v>28</v>
      </c>
      <c r="D65" s="24" t="n">
        <v>20053</v>
      </c>
      <c r="E65" s="11" t="n">
        <v>50079.05</v>
      </c>
      <c r="F65" s="18" t="n">
        <v>2.4973</v>
      </c>
    </row>
    <row r="66" customFormat="false" ht="15" hidden="false" customHeight="false" outlineLevel="0" collapsed="false">
      <c r="A66" s="10" t="n">
        <v>2010</v>
      </c>
      <c r="B66" s="10" t="n">
        <v>10</v>
      </c>
      <c r="C66" s="10" t="s">
        <v>31</v>
      </c>
      <c r="D66" s="24" t="n">
        <v>9923</v>
      </c>
      <c r="E66" s="11" t="n">
        <v>15211.77</v>
      </c>
      <c r="F66" s="18" t="n">
        <v>1.533</v>
      </c>
    </row>
    <row r="67" customFormat="false" ht="15" hidden="false" customHeight="false" outlineLevel="0" collapsed="false">
      <c r="A67" s="10" t="n">
        <v>2010</v>
      </c>
      <c r="B67" s="10" t="n">
        <v>10</v>
      </c>
      <c r="C67" s="10" t="s">
        <v>30</v>
      </c>
      <c r="D67" s="24" t="n">
        <v>11857</v>
      </c>
      <c r="E67" s="11" t="n">
        <v>21561.63</v>
      </c>
      <c r="F67" s="18" t="n">
        <v>1.8185</v>
      </c>
    </row>
    <row r="68" customFormat="false" ht="15" hidden="false" customHeight="false" outlineLevel="0" collapsed="false">
      <c r="A68" s="10" t="n">
        <v>2010</v>
      </c>
      <c r="B68" s="10" t="n">
        <v>10</v>
      </c>
      <c r="C68" s="10" t="s">
        <v>29</v>
      </c>
      <c r="D68" s="24" t="n">
        <v>17628</v>
      </c>
      <c r="E68" s="11" t="n">
        <v>17265.85</v>
      </c>
      <c r="F68" s="18" t="n">
        <v>0.9795</v>
      </c>
    </row>
    <row r="69" customFormat="false" ht="15" hidden="false" customHeight="false" outlineLevel="0" collapsed="false">
      <c r="A69" s="10" t="n">
        <v>2010</v>
      </c>
      <c r="B69" s="10" t="n">
        <v>10</v>
      </c>
      <c r="C69" s="10" t="s">
        <v>32</v>
      </c>
      <c r="D69" s="24" t="n">
        <v>37460</v>
      </c>
      <c r="E69" s="11" t="n">
        <v>60956.73</v>
      </c>
      <c r="F69" s="18" t="n">
        <v>1.6272</v>
      </c>
    </row>
    <row r="70" customFormat="false" ht="15" hidden="false" customHeight="false" outlineLevel="0" collapsed="false">
      <c r="A70" s="10" t="n">
        <v>2010</v>
      </c>
      <c r="B70" s="10" t="n">
        <v>10</v>
      </c>
      <c r="C70" s="10" t="s">
        <v>27</v>
      </c>
      <c r="D70" s="24" t="n">
        <v>525174</v>
      </c>
      <c r="E70" s="11" t="n">
        <v>1000408.88</v>
      </c>
      <c r="F70" s="18" t="n">
        <v>1.9049</v>
      </c>
    </row>
    <row r="71" customFormat="false" ht="15" hidden="false" customHeight="false" outlineLevel="0" collapsed="false">
      <c r="A71" s="10" t="n">
        <v>2010</v>
      </c>
      <c r="B71" s="10" t="n">
        <v>11</v>
      </c>
      <c r="C71" s="10" t="s">
        <v>28</v>
      </c>
      <c r="D71" s="24" t="n">
        <v>15491</v>
      </c>
      <c r="E71" s="11" t="n">
        <v>31031.31</v>
      </c>
      <c r="F71" s="18" t="n">
        <v>2.0032</v>
      </c>
    </row>
    <row r="72" customFormat="false" ht="15" hidden="false" customHeight="false" outlineLevel="0" collapsed="false">
      <c r="A72" s="10" t="n">
        <v>2010</v>
      </c>
      <c r="B72" s="10" t="n">
        <v>11</v>
      </c>
      <c r="C72" s="10" t="s">
        <v>31</v>
      </c>
      <c r="D72" s="24" t="n">
        <v>11703</v>
      </c>
      <c r="E72" s="11" t="n">
        <v>19618.27</v>
      </c>
      <c r="F72" s="18" t="n">
        <v>1.6763</v>
      </c>
    </row>
    <row r="73" customFormat="false" ht="15" hidden="false" customHeight="false" outlineLevel="0" collapsed="false">
      <c r="A73" s="10" t="n">
        <v>2010</v>
      </c>
      <c r="B73" s="10" t="n">
        <v>11</v>
      </c>
      <c r="C73" s="10" t="s">
        <v>30</v>
      </c>
      <c r="D73" s="24" t="n">
        <v>15679</v>
      </c>
      <c r="E73" s="11" t="n">
        <v>30240.51</v>
      </c>
      <c r="F73" s="18" t="n">
        <v>1.9287</v>
      </c>
    </row>
    <row r="74" customFormat="false" ht="15" hidden="false" customHeight="false" outlineLevel="0" collapsed="false">
      <c r="A74" s="10" t="n">
        <v>2010</v>
      </c>
      <c r="B74" s="10" t="n">
        <v>11</v>
      </c>
      <c r="C74" s="10" t="s">
        <v>29</v>
      </c>
      <c r="D74" s="24" t="n">
        <v>22102</v>
      </c>
      <c r="E74" s="11" t="n">
        <v>36058.74</v>
      </c>
      <c r="F74" s="18" t="n">
        <v>1.6315</v>
      </c>
    </row>
    <row r="75" customFormat="false" ht="15" hidden="false" customHeight="false" outlineLevel="0" collapsed="false">
      <c r="A75" s="10" t="n">
        <v>2010</v>
      </c>
      <c r="B75" s="10" t="n">
        <v>11</v>
      </c>
      <c r="C75" s="10" t="s">
        <v>32</v>
      </c>
      <c r="D75" s="24" t="n">
        <v>38877</v>
      </c>
      <c r="E75" s="11" t="n">
        <v>77742.51</v>
      </c>
      <c r="F75" s="18" t="n">
        <v>1.9997</v>
      </c>
    </row>
    <row r="76" customFormat="false" ht="15" hidden="false" customHeight="false" outlineLevel="0" collapsed="false">
      <c r="A76" s="10" t="n">
        <v>2010</v>
      </c>
      <c r="B76" s="10" t="n">
        <v>11</v>
      </c>
      <c r="C76" s="10" t="s">
        <v>27</v>
      </c>
      <c r="D76" s="24" t="n">
        <v>624597</v>
      </c>
      <c r="E76" s="11" t="n">
        <v>1275581.14</v>
      </c>
      <c r="F76" s="18" t="n">
        <v>2.0422</v>
      </c>
    </row>
    <row r="77" customFormat="false" ht="15" hidden="false" customHeight="false" outlineLevel="0" collapsed="false">
      <c r="A77" s="10" t="n">
        <v>2010</v>
      </c>
      <c r="B77" s="10" t="n">
        <v>12</v>
      </c>
      <c r="C77" s="10" t="s">
        <v>28</v>
      </c>
      <c r="D77" s="24" t="n">
        <v>9495</v>
      </c>
      <c r="E77" s="11" t="n">
        <v>15316.04</v>
      </c>
      <c r="F77" s="18" t="n">
        <v>1.6131</v>
      </c>
    </row>
    <row r="78" customFormat="false" ht="15" hidden="false" customHeight="false" outlineLevel="0" collapsed="false">
      <c r="A78" s="10" t="n">
        <v>2010</v>
      </c>
      <c r="B78" s="10" t="n">
        <v>12</v>
      </c>
      <c r="C78" s="10" t="s">
        <v>31</v>
      </c>
      <c r="D78" s="24" t="n">
        <v>8178</v>
      </c>
      <c r="E78" s="11" t="n">
        <v>15906.73</v>
      </c>
      <c r="F78" s="18" t="n">
        <v>1.9451</v>
      </c>
    </row>
    <row r="79" customFormat="false" ht="15" hidden="false" customHeight="false" outlineLevel="0" collapsed="false">
      <c r="A79" s="10" t="n">
        <v>2010</v>
      </c>
      <c r="B79" s="10" t="n">
        <v>12</v>
      </c>
      <c r="C79" s="10" t="s">
        <v>30</v>
      </c>
      <c r="D79" s="24" t="n">
        <v>9492</v>
      </c>
      <c r="E79" s="11" t="n">
        <v>20925.22</v>
      </c>
      <c r="F79" s="18" t="n">
        <v>2.2045</v>
      </c>
    </row>
    <row r="80" customFormat="false" ht="15" hidden="false" customHeight="false" outlineLevel="0" collapsed="false">
      <c r="A80" s="10" t="n">
        <v>2010</v>
      </c>
      <c r="B80" s="10" t="n">
        <v>12</v>
      </c>
      <c r="C80" s="10" t="s">
        <v>29</v>
      </c>
      <c r="D80" s="24" t="n">
        <v>6908</v>
      </c>
      <c r="E80" s="11" t="n">
        <v>8977.08</v>
      </c>
      <c r="F80" s="18" t="n">
        <v>1.2995</v>
      </c>
    </row>
    <row r="81" customFormat="false" ht="15" hidden="false" customHeight="false" outlineLevel="0" collapsed="false">
      <c r="A81" s="10" t="n">
        <v>2010</v>
      </c>
      <c r="B81" s="10" t="n">
        <v>12</v>
      </c>
      <c r="C81" s="10" t="s">
        <v>32</v>
      </c>
      <c r="D81" s="24" t="n">
        <v>29793</v>
      </c>
      <c r="E81" s="11" t="n">
        <v>48123.3</v>
      </c>
      <c r="F81" s="18" t="n">
        <v>1.6153</v>
      </c>
    </row>
    <row r="82" customFormat="false" ht="15" hidden="false" customHeight="false" outlineLevel="0" collapsed="false">
      <c r="A82" s="10" t="n">
        <v>2010</v>
      </c>
      <c r="B82" s="10" t="n">
        <v>12</v>
      </c>
      <c r="C82" s="10" t="s">
        <v>27</v>
      </c>
      <c r="D82" s="24" t="n">
        <v>476332</v>
      </c>
      <c r="E82" s="11" t="n">
        <v>1153350.42</v>
      </c>
      <c r="F82" s="18" t="n">
        <v>2.4213</v>
      </c>
    </row>
    <row r="83" customFormat="false" ht="15" hidden="false" customHeight="false" outlineLevel="0" collapsed="false">
      <c r="A83" s="10" t="n">
        <v>2011</v>
      </c>
      <c r="B83" s="10" t="n">
        <v>1</v>
      </c>
      <c r="C83" s="10" t="s">
        <v>28</v>
      </c>
      <c r="D83" s="24" t="n">
        <v>8794</v>
      </c>
      <c r="E83" s="11" t="n">
        <v>21904.19</v>
      </c>
      <c r="F83" s="18" t="n">
        <v>2.4908</v>
      </c>
    </row>
    <row r="84" customFormat="false" ht="15" hidden="false" customHeight="false" outlineLevel="0" collapsed="false">
      <c r="A84" s="10" t="n">
        <v>2011</v>
      </c>
      <c r="B84" s="10" t="n">
        <v>1</v>
      </c>
      <c r="C84" s="10" t="s">
        <v>31</v>
      </c>
      <c r="D84" s="24" t="n">
        <v>9199</v>
      </c>
      <c r="E84" s="11" t="n">
        <v>17740.12</v>
      </c>
      <c r="F84" s="18" t="n">
        <v>1.9285</v>
      </c>
    </row>
    <row r="85" customFormat="false" ht="15" hidden="false" customHeight="false" outlineLevel="0" collapsed="false">
      <c r="A85" s="10" t="n">
        <v>2011</v>
      </c>
      <c r="B85" s="10" t="n">
        <v>1</v>
      </c>
      <c r="C85" s="10" t="s">
        <v>30</v>
      </c>
      <c r="D85" s="24" t="n">
        <v>9077</v>
      </c>
      <c r="E85" s="11" t="n">
        <v>16910.84</v>
      </c>
      <c r="F85" s="18" t="n">
        <v>1.863</v>
      </c>
    </row>
    <row r="86" customFormat="false" ht="15" hidden="false" customHeight="false" outlineLevel="0" collapsed="false">
      <c r="A86" s="10" t="n">
        <v>2011</v>
      </c>
      <c r="B86" s="10" t="n">
        <v>1</v>
      </c>
      <c r="C86" s="10" t="s">
        <v>29</v>
      </c>
      <c r="D86" s="24" t="n">
        <v>20417</v>
      </c>
      <c r="E86" s="11" t="n">
        <v>26611.16</v>
      </c>
      <c r="F86" s="18" t="n">
        <v>1.3034</v>
      </c>
    </row>
    <row r="87" customFormat="false" ht="15" hidden="false" customHeight="false" outlineLevel="0" collapsed="false">
      <c r="A87" s="10" t="n">
        <v>2011</v>
      </c>
      <c r="B87" s="10" t="n">
        <v>1</v>
      </c>
      <c r="C87" s="10" t="s">
        <v>32</v>
      </c>
      <c r="D87" s="24" t="n">
        <v>24581</v>
      </c>
      <c r="E87" s="11" t="n">
        <v>46908.27</v>
      </c>
      <c r="F87" s="18" t="n">
        <v>1.9083</v>
      </c>
    </row>
    <row r="88" customFormat="false" ht="15" hidden="false" customHeight="false" outlineLevel="0" collapsed="false">
      <c r="A88" s="10" t="n">
        <v>2011</v>
      </c>
      <c r="B88" s="10" t="n">
        <v>1</v>
      </c>
      <c r="C88" s="10" t="s">
        <v>27</v>
      </c>
      <c r="D88" s="24" t="n">
        <v>315717</v>
      </c>
      <c r="E88" s="11" t="n">
        <v>561289.98</v>
      </c>
      <c r="F88" s="18" t="n">
        <v>1.7778</v>
      </c>
    </row>
    <row r="89" customFormat="false" ht="15" hidden="false" customHeight="false" outlineLevel="0" collapsed="false">
      <c r="A89" s="10" t="n">
        <v>2011</v>
      </c>
      <c r="B89" s="10" t="n">
        <v>2</v>
      </c>
      <c r="C89" s="10" t="s">
        <v>28</v>
      </c>
      <c r="D89" s="24" t="n">
        <v>6004</v>
      </c>
      <c r="E89" s="11" t="n">
        <v>12248.74</v>
      </c>
      <c r="F89" s="18" t="n">
        <v>2.0401</v>
      </c>
    </row>
    <row r="90" customFormat="false" ht="15" hidden="false" customHeight="false" outlineLevel="0" collapsed="false">
      <c r="A90" s="10" t="n">
        <v>2011</v>
      </c>
      <c r="B90" s="10" t="n">
        <v>2</v>
      </c>
      <c r="C90" s="10" t="s">
        <v>31</v>
      </c>
      <c r="D90" s="24" t="n">
        <v>5340</v>
      </c>
      <c r="E90" s="11" t="n">
        <v>8515.96</v>
      </c>
      <c r="F90" s="18" t="n">
        <v>1.5947</v>
      </c>
    </row>
    <row r="91" customFormat="false" ht="15" hidden="false" customHeight="false" outlineLevel="0" collapsed="false">
      <c r="A91" s="10" t="n">
        <v>2011</v>
      </c>
      <c r="B91" s="10" t="n">
        <v>2</v>
      </c>
      <c r="C91" s="10" t="s">
        <v>30</v>
      </c>
      <c r="D91" s="24" t="n">
        <v>4245</v>
      </c>
      <c r="E91" s="11" t="n">
        <v>9581.05</v>
      </c>
      <c r="F91" s="18" t="n">
        <v>2.257</v>
      </c>
    </row>
    <row r="92" customFormat="false" ht="15" hidden="false" customHeight="false" outlineLevel="0" collapsed="false">
      <c r="A92" s="10" t="n">
        <v>2011</v>
      </c>
      <c r="B92" s="10" t="n">
        <v>2</v>
      </c>
      <c r="C92" s="10" t="s">
        <v>29</v>
      </c>
      <c r="D92" s="24" t="n">
        <v>16387</v>
      </c>
      <c r="E92" s="11" t="n">
        <v>23011.91</v>
      </c>
      <c r="F92" s="18" t="n">
        <v>1.4043</v>
      </c>
    </row>
    <row r="93" customFormat="false" ht="15" hidden="false" customHeight="false" outlineLevel="0" collapsed="false">
      <c r="A93" s="10" t="n">
        <v>2011</v>
      </c>
      <c r="B93" s="10" t="n">
        <v>2</v>
      </c>
      <c r="C93" s="10" t="s">
        <v>32</v>
      </c>
      <c r="D93" s="24" t="n">
        <v>21310</v>
      </c>
      <c r="E93" s="11" t="n">
        <v>40246.28</v>
      </c>
      <c r="F93" s="18" t="n">
        <v>1.8886</v>
      </c>
    </row>
    <row r="94" customFormat="false" ht="15" hidden="false" customHeight="false" outlineLevel="0" collapsed="false">
      <c r="A94" s="10" t="n">
        <v>2011</v>
      </c>
      <c r="B94" s="10" t="n">
        <v>2</v>
      </c>
      <c r="C94" s="10" t="s">
        <v>27</v>
      </c>
      <c r="D94" s="24" t="n">
        <v>230269</v>
      </c>
      <c r="E94" s="11" t="n">
        <v>430027.95</v>
      </c>
      <c r="F94" s="18" t="n">
        <v>1.8675</v>
      </c>
    </row>
    <row r="95" customFormat="false" ht="15" hidden="false" customHeight="false" outlineLevel="0" collapsed="false">
      <c r="A95" s="10" t="n">
        <v>2011</v>
      </c>
      <c r="B95" s="10" t="n">
        <v>3</v>
      </c>
      <c r="C95" s="10" t="s">
        <v>28</v>
      </c>
      <c r="D95" s="24" t="n">
        <v>9580</v>
      </c>
      <c r="E95" s="11" t="n">
        <v>22197.51</v>
      </c>
      <c r="F95" s="18" t="n">
        <v>2.3171</v>
      </c>
    </row>
    <row r="96" customFormat="false" ht="15" hidden="false" customHeight="false" outlineLevel="0" collapsed="false">
      <c r="A96" s="10" t="n">
        <v>2011</v>
      </c>
      <c r="B96" s="10" t="n">
        <v>3</v>
      </c>
      <c r="C96" s="10" t="s">
        <v>31</v>
      </c>
      <c r="D96" s="24" t="n">
        <v>8690</v>
      </c>
      <c r="E96" s="11" t="n">
        <v>14589.55</v>
      </c>
      <c r="F96" s="18" t="n">
        <v>1.6789</v>
      </c>
    </row>
    <row r="97" customFormat="false" ht="15" hidden="false" customHeight="false" outlineLevel="0" collapsed="false">
      <c r="A97" s="10" t="n">
        <v>2011</v>
      </c>
      <c r="B97" s="10" t="n">
        <v>3</v>
      </c>
      <c r="C97" s="10" t="s">
        <v>30</v>
      </c>
      <c r="D97" s="24" t="n">
        <v>7739</v>
      </c>
      <c r="E97" s="11" t="n">
        <v>14392.69</v>
      </c>
      <c r="F97" s="18" t="n">
        <v>1.8598</v>
      </c>
    </row>
    <row r="98" customFormat="false" ht="15" hidden="false" customHeight="false" outlineLevel="0" collapsed="false">
      <c r="A98" s="10" t="n">
        <v>2011</v>
      </c>
      <c r="B98" s="10" t="n">
        <v>3</v>
      </c>
      <c r="C98" s="10" t="s">
        <v>29</v>
      </c>
      <c r="D98" s="24" t="n">
        <v>14828</v>
      </c>
      <c r="E98" s="11" t="n">
        <v>22416.49</v>
      </c>
      <c r="F98" s="18" t="n">
        <v>1.5118</v>
      </c>
    </row>
    <row r="99" customFormat="false" ht="15" hidden="false" customHeight="false" outlineLevel="0" collapsed="false">
      <c r="A99" s="10" t="n">
        <v>2011</v>
      </c>
      <c r="B99" s="10" t="n">
        <v>3</v>
      </c>
      <c r="C99" s="10" t="s">
        <v>32</v>
      </c>
      <c r="D99" s="24" t="n">
        <v>31697</v>
      </c>
      <c r="E99" s="11" t="n">
        <v>57812.84</v>
      </c>
      <c r="F99" s="18" t="n">
        <v>1.8239</v>
      </c>
    </row>
    <row r="100" customFormat="false" ht="15" hidden="false" customHeight="false" outlineLevel="0" collapsed="false">
      <c r="A100" s="10" t="n">
        <v>2011</v>
      </c>
      <c r="B100" s="10" t="n">
        <v>3</v>
      </c>
      <c r="C100" s="10" t="s">
        <v>27</v>
      </c>
      <c r="D100" s="24" t="n">
        <v>304992</v>
      </c>
      <c r="E100" s="11" t="n">
        <v>586230.28</v>
      </c>
      <c r="F100" s="18" t="n">
        <v>1.9221</v>
      </c>
    </row>
    <row r="101" customFormat="false" ht="15" hidden="false" customHeight="false" outlineLevel="0" collapsed="false">
      <c r="A101" s="10" t="n">
        <v>2011</v>
      </c>
      <c r="B101" s="10" t="n">
        <v>4</v>
      </c>
      <c r="C101" s="10" t="s">
        <v>28</v>
      </c>
      <c r="D101" s="24" t="n">
        <v>4135</v>
      </c>
      <c r="E101" s="11" t="n">
        <v>7570.5</v>
      </c>
      <c r="F101" s="18" t="n">
        <v>1.8308</v>
      </c>
    </row>
    <row r="102" customFormat="false" ht="15" hidden="false" customHeight="false" outlineLevel="0" collapsed="false">
      <c r="A102" s="10" t="n">
        <v>2011</v>
      </c>
      <c r="B102" s="10" t="n">
        <v>4</v>
      </c>
      <c r="C102" s="10" t="s">
        <v>31</v>
      </c>
      <c r="D102" s="24" t="n">
        <v>2287</v>
      </c>
      <c r="E102" s="11" t="n">
        <v>5529.61</v>
      </c>
      <c r="F102" s="18" t="n">
        <v>2.4178</v>
      </c>
    </row>
    <row r="103" customFormat="false" ht="15" hidden="false" customHeight="false" outlineLevel="0" collapsed="false">
      <c r="A103" s="10" t="n">
        <v>2011</v>
      </c>
      <c r="B103" s="10" t="n">
        <v>4</v>
      </c>
      <c r="C103" s="10" t="s">
        <v>30</v>
      </c>
      <c r="D103" s="24" t="n">
        <v>5764</v>
      </c>
      <c r="E103" s="11" t="n">
        <v>12315.54</v>
      </c>
      <c r="F103" s="18" t="n">
        <v>2.1366</v>
      </c>
    </row>
    <row r="104" customFormat="false" ht="15" hidden="false" customHeight="false" outlineLevel="0" collapsed="false">
      <c r="A104" s="10" t="n">
        <v>2011</v>
      </c>
      <c r="B104" s="10" t="n">
        <v>4</v>
      </c>
      <c r="C104" s="10" t="s">
        <v>29</v>
      </c>
      <c r="D104" s="24" t="n">
        <v>1768</v>
      </c>
      <c r="E104" s="11" t="n">
        <v>2976.56</v>
      </c>
      <c r="F104" s="18" t="n">
        <v>1.6836</v>
      </c>
    </row>
    <row r="105" customFormat="false" ht="15" hidden="false" customHeight="false" outlineLevel="0" collapsed="false">
      <c r="A105" s="10" t="n">
        <v>2011</v>
      </c>
      <c r="B105" s="10" t="n">
        <v>4</v>
      </c>
      <c r="C105" s="10" t="s">
        <v>32</v>
      </c>
      <c r="D105" s="24" t="n">
        <v>18582</v>
      </c>
      <c r="E105" s="11" t="n">
        <v>32898.65</v>
      </c>
      <c r="F105" s="18" t="n">
        <v>1.7705</v>
      </c>
    </row>
    <row r="106" customFormat="false" ht="15" hidden="false" customHeight="false" outlineLevel="0" collapsed="false">
      <c r="A106" s="10" t="n">
        <v>2011</v>
      </c>
      <c r="B106" s="10" t="n">
        <v>4</v>
      </c>
      <c r="C106" s="10" t="s">
        <v>27</v>
      </c>
      <c r="D106" s="24" t="n">
        <v>276279</v>
      </c>
      <c r="E106" s="11" t="n">
        <v>476517.76</v>
      </c>
      <c r="F106" s="18" t="n">
        <v>1.7248</v>
      </c>
    </row>
    <row r="107" customFormat="false" ht="15" hidden="false" customHeight="false" outlineLevel="0" collapsed="false">
      <c r="A107" s="10" t="n">
        <v>2011</v>
      </c>
      <c r="B107" s="10" t="n">
        <v>5</v>
      </c>
      <c r="C107" s="10" t="s">
        <v>28</v>
      </c>
      <c r="D107" s="24" t="n">
        <v>8028</v>
      </c>
      <c r="E107" s="11" t="n">
        <v>18008.76</v>
      </c>
      <c r="F107" s="18" t="n">
        <v>2.2432</v>
      </c>
    </row>
    <row r="108" customFormat="false" ht="15" hidden="false" customHeight="false" outlineLevel="0" collapsed="false">
      <c r="A108" s="10" t="n">
        <v>2011</v>
      </c>
      <c r="B108" s="10" t="n">
        <v>5</v>
      </c>
      <c r="C108" s="10" t="s">
        <v>31</v>
      </c>
      <c r="D108" s="24" t="n">
        <v>9788</v>
      </c>
      <c r="E108" s="11" t="n">
        <v>17614.88</v>
      </c>
      <c r="F108" s="18" t="n">
        <v>1.7996</v>
      </c>
    </row>
    <row r="109" customFormat="false" ht="15" hidden="false" customHeight="false" outlineLevel="0" collapsed="false">
      <c r="A109" s="10" t="n">
        <v>2011</v>
      </c>
      <c r="B109" s="10" t="n">
        <v>5</v>
      </c>
      <c r="C109" s="10" t="s">
        <v>30</v>
      </c>
      <c r="D109" s="24" t="n">
        <v>12997</v>
      </c>
      <c r="E109" s="11" t="n">
        <v>25751.2</v>
      </c>
      <c r="F109" s="18" t="n">
        <v>1.9813</v>
      </c>
    </row>
    <row r="110" customFormat="false" ht="15" hidden="false" customHeight="false" outlineLevel="0" collapsed="false">
      <c r="A110" s="10" t="n">
        <v>2011</v>
      </c>
      <c r="B110" s="10" t="n">
        <v>5</v>
      </c>
      <c r="C110" s="10" t="s">
        <v>29</v>
      </c>
      <c r="D110" s="24" t="n">
        <v>19936</v>
      </c>
      <c r="E110" s="11" t="n">
        <v>29185.88</v>
      </c>
      <c r="F110" s="18" t="n">
        <v>1.464</v>
      </c>
    </row>
    <row r="111" customFormat="false" ht="15" hidden="false" customHeight="false" outlineLevel="0" collapsed="false">
      <c r="A111" s="10" t="n">
        <v>2011</v>
      </c>
      <c r="B111" s="10" t="n">
        <v>5</v>
      </c>
      <c r="C111" s="10" t="s">
        <v>32</v>
      </c>
      <c r="D111" s="24" t="n">
        <v>23216</v>
      </c>
      <c r="E111" s="11" t="n">
        <v>40660.94</v>
      </c>
      <c r="F111" s="18" t="n">
        <v>1.7514</v>
      </c>
    </row>
    <row r="112" customFormat="false" ht="15" hidden="false" customHeight="false" outlineLevel="0" collapsed="false">
      <c r="A112" s="10" t="n">
        <v>2011</v>
      </c>
      <c r="B112" s="10" t="n">
        <v>5</v>
      </c>
      <c r="C112" s="10" t="s">
        <v>27</v>
      </c>
      <c r="D112" s="24" t="n">
        <v>321773</v>
      </c>
      <c r="E112" s="11" t="n">
        <v>639314.36</v>
      </c>
      <c r="F112" s="18" t="n">
        <v>1.9868</v>
      </c>
    </row>
    <row r="113" customFormat="false" ht="15" hidden="false" customHeight="false" outlineLevel="0" collapsed="false">
      <c r="A113" s="10" t="n">
        <v>2011</v>
      </c>
      <c r="B113" s="10" t="n">
        <v>6</v>
      </c>
      <c r="C113" s="10" t="s">
        <v>28</v>
      </c>
      <c r="D113" s="24" t="n">
        <v>12905</v>
      </c>
      <c r="E113" s="11" t="n">
        <v>24863.61</v>
      </c>
      <c r="F113" s="18" t="n">
        <v>1.9267</v>
      </c>
    </row>
    <row r="114" customFormat="false" ht="15" hidden="false" customHeight="false" outlineLevel="0" collapsed="false">
      <c r="A114" s="10" t="n">
        <v>2011</v>
      </c>
      <c r="B114" s="10" t="n">
        <v>6</v>
      </c>
      <c r="C114" s="10" t="s">
        <v>31</v>
      </c>
      <c r="D114" s="24" t="n">
        <v>9705</v>
      </c>
      <c r="E114" s="11" t="n">
        <v>16348.41</v>
      </c>
      <c r="F114" s="18" t="n">
        <v>1.6845</v>
      </c>
    </row>
    <row r="115" customFormat="false" ht="15" hidden="false" customHeight="false" outlineLevel="0" collapsed="false">
      <c r="A115" s="10" t="n">
        <v>2011</v>
      </c>
      <c r="B115" s="10" t="n">
        <v>6</v>
      </c>
      <c r="C115" s="10" t="s">
        <v>30</v>
      </c>
      <c r="D115" s="24" t="n">
        <v>7470</v>
      </c>
      <c r="E115" s="11" t="n">
        <v>13274.1</v>
      </c>
      <c r="F115" s="18" t="n">
        <v>1.777</v>
      </c>
    </row>
    <row r="116" customFormat="false" ht="15" hidden="false" customHeight="false" outlineLevel="0" collapsed="false">
      <c r="A116" s="10" t="n">
        <v>2011</v>
      </c>
      <c r="B116" s="10" t="n">
        <v>6</v>
      </c>
      <c r="C116" s="10" t="s">
        <v>29</v>
      </c>
      <c r="D116" s="24" t="n">
        <v>19744</v>
      </c>
      <c r="E116" s="11" t="n">
        <v>26858.09</v>
      </c>
      <c r="F116" s="18" t="n">
        <v>1.3603</v>
      </c>
    </row>
    <row r="117" customFormat="false" ht="15" hidden="false" customHeight="false" outlineLevel="0" collapsed="false">
      <c r="A117" s="10" t="n">
        <v>2011</v>
      </c>
      <c r="B117" s="10" t="n">
        <v>6</v>
      </c>
      <c r="C117" s="10" t="s">
        <v>32</v>
      </c>
      <c r="D117" s="24" t="n">
        <v>34288</v>
      </c>
      <c r="E117" s="11" t="n">
        <v>60885.02</v>
      </c>
      <c r="F117" s="18" t="n">
        <v>1.7757</v>
      </c>
    </row>
    <row r="118" customFormat="false" ht="15" hidden="false" customHeight="false" outlineLevel="0" collapsed="false">
      <c r="A118" s="10" t="n">
        <v>2011</v>
      </c>
      <c r="B118" s="10" t="n">
        <v>6</v>
      </c>
      <c r="C118" s="10" t="s">
        <v>27</v>
      </c>
      <c r="D118" s="24" t="n">
        <v>305101</v>
      </c>
      <c r="E118" s="11" t="n">
        <v>619510.67</v>
      </c>
      <c r="F118" s="18" t="n">
        <v>2.0305</v>
      </c>
    </row>
    <row r="119" customFormat="false" ht="15" hidden="false" customHeight="false" outlineLevel="0" collapsed="false">
      <c r="A119" s="10" t="n">
        <v>2011</v>
      </c>
      <c r="B119" s="10" t="n">
        <v>7</v>
      </c>
      <c r="C119" s="10" t="s">
        <v>28</v>
      </c>
      <c r="D119" s="24" t="n">
        <v>22111</v>
      </c>
      <c r="E119" s="11" t="n">
        <v>42789.85</v>
      </c>
      <c r="F119" s="18" t="n">
        <v>1.9352</v>
      </c>
    </row>
    <row r="120" customFormat="false" ht="15" hidden="false" customHeight="false" outlineLevel="0" collapsed="false">
      <c r="A120" s="10" t="n">
        <v>2011</v>
      </c>
      <c r="B120" s="10" t="n">
        <v>7</v>
      </c>
      <c r="C120" s="10" t="s">
        <v>31</v>
      </c>
      <c r="D120" s="24" t="n">
        <v>5664</v>
      </c>
      <c r="E120" s="11" t="n">
        <v>10000.19</v>
      </c>
      <c r="F120" s="18" t="n">
        <v>1.7656</v>
      </c>
    </row>
    <row r="121" customFormat="false" ht="15" hidden="false" customHeight="false" outlineLevel="0" collapsed="false">
      <c r="A121" s="10" t="n">
        <v>2011</v>
      </c>
      <c r="B121" s="10" t="n">
        <v>7</v>
      </c>
      <c r="C121" s="10" t="s">
        <v>30</v>
      </c>
      <c r="D121" s="24" t="n">
        <v>9096</v>
      </c>
      <c r="E121" s="11" t="n">
        <v>16440.98</v>
      </c>
      <c r="F121" s="18" t="n">
        <v>1.8075</v>
      </c>
    </row>
    <row r="122" customFormat="false" ht="15" hidden="false" customHeight="false" outlineLevel="0" collapsed="false">
      <c r="A122" s="10" t="n">
        <v>2011</v>
      </c>
      <c r="B122" s="10" t="n">
        <v>7</v>
      </c>
      <c r="C122" s="10" t="s">
        <v>29</v>
      </c>
      <c r="D122" s="24" t="n">
        <v>10</v>
      </c>
      <c r="E122" s="11" t="n">
        <v>26.02</v>
      </c>
      <c r="F122" s="18" t="n">
        <v>2.602</v>
      </c>
    </row>
    <row r="123" customFormat="false" ht="15" hidden="false" customHeight="false" outlineLevel="0" collapsed="false">
      <c r="A123" s="10" t="n">
        <v>2011</v>
      </c>
      <c r="B123" s="10" t="n">
        <v>7</v>
      </c>
      <c r="C123" s="10" t="s">
        <v>32</v>
      </c>
      <c r="D123" s="24" t="n">
        <v>30468</v>
      </c>
      <c r="E123" s="11" t="n">
        <v>47969.31</v>
      </c>
      <c r="F123" s="18" t="n">
        <v>1.5744</v>
      </c>
    </row>
    <row r="124" customFormat="false" ht="15" hidden="false" customHeight="false" outlineLevel="0" collapsed="false">
      <c r="A124" s="10" t="n">
        <v>2011</v>
      </c>
      <c r="B124" s="10" t="n">
        <v>7</v>
      </c>
      <c r="C124" s="10" t="s">
        <v>27</v>
      </c>
      <c r="D124" s="24" t="n">
        <v>334410</v>
      </c>
      <c r="E124" s="11" t="n">
        <v>601994.84</v>
      </c>
      <c r="F124" s="18" t="n">
        <v>1.8002</v>
      </c>
    </row>
    <row r="125" customFormat="false" ht="15" hidden="false" customHeight="false" outlineLevel="0" collapsed="false">
      <c r="A125" s="10" t="n">
        <v>2011</v>
      </c>
      <c r="B125" s="10" t="n">
        <v>8</v>
      </c>
      <c r="C125" s="10" t="s">
        <v>28</v>
      </c>
      <c r="D125" s="24" t="n">
        <v>10077</v>
      </c>
      <c r="E125" s="11" t="n">
        <v>18353.75</v>
      </c>
      <c r="F125" s="18" t="n">
        <v>1.8214</v>
      </c>
    </row>
    <row r="126" customFormat="false" ht="15" hidden="false" customHeight="false" outlineLevel="0" collapsed="false">
      <c r="A126" s="10" t="n">
        <v>2011</v>
      </c>
      <c r="B126" s="10" t="n">
        <v>8</v>
      </c>
      <c r="C126" s="10" t="s">
        <v>31</v>
      </c>
      <c r="D126" s="24" t="n">
        <v>7958</v>
      </c>
      <c r="E126" s="11" t="n">
        <v>13810.96</v>
      </c>
      <c r="F126" s="18" t="n">
        <v>1.7355</v>
      </c>
    </row>
    <row r="127" customFormat="false" ht="15" hidden="false" customHeight="false" outlineLevel="0" collapsed="false">
      <c r="A127" s="10" t="n">
        <v>2011</v>
      </c>
      <c r="B127" s="10" t="n">
        <v>8</v>
      </c>
      <c r="C127" s="10" t="s">
        <v>30</v>
      </c>
      <c r="D127" s="24" t="n">
        <v>9641</v>
      </c>
      <c r="E127" s="11" t="n">
        <v>19220.77</v>
      </c>
      <c r="F127" s="18" t="n">
        <v>1.9936</v>
      </c>
    </row>
    <row r="128" customFormat="false" ht="15" hidden="false" customHeight="false" outlineLevel="0" collapsed="false">
      <c r="A128" s="10" t="n">
        <v>2011</v>
      </c>
      <c r="B128" s="10" t="n">
        <v>8</v>
      </c>
      <c r="C128" s="10" t="s">
        <v>29</v>
      </c>
      <c r="D128" s="24" t="n">
        <v>29300</v>
      </c>
      <c r="E128" s="11" t="n">
        <v>40327.81</v>
      </c>
      <c r="F128" s="18" t="n">
        <v>1.3764</v>
      </c>
    </row>
    <row r="129" customFormat="false" ht="15" hidden="false" customHeight="false" outlineLevel="0" collapsed="false">
      <c r="A129" s="10" t="n">
        <v>2011</v>
      </c>
      <c r="B129" s="10" t="n">
        <v>8</v>
      </c>
      <c r="C129" s="10" t="s">
        <v>32</v>
      </c>
      <c r="D129" s="24" t="n">
        <v>32036</v>
      </c>
      <c r="E129" s="11" t="n">
        <v>59377.61</v>
      </c>
      <c r="F129" s="18" t="n">
        <v>1.8535</v>
      </c>
    </row>
    <row r="130" customFormat="false" ht="15" hidden="false" customHeight="false" outlineLevel="0" collapsed="false">
      <c r="A130" s="10" t="n">
        <v>2011</v>
      </c>
      <c r="B130" s="10" t="n">
        <v>8</v>
      </c>
      <c r="C130" s="10" t="s">
        <v>27</v>
      </c>
      <c r="D130" s="24" t="n">
        <v>332758</v>
      </c>
      <c r="E130" s="11" t="n">
        <v>608047.48</v>
      </c>
      <c r="F130" s="18" t="n">
        <v>1.8273</v>
      </c>
    </row>
    <row r="131" customFormat="false" ht="15" hidden="false" customHeight="false" outlineLevel="0" collapsed="false">
      <c r="A131" s="10" t="n">
        <v>2011</v>
      </c>
      <c r="B131" s="10" t="n">
        <v>9</v>
      </c>
      <c r="C131" s="10" t="s">
        <v>28</v>
      </c>
      <c r="D131" s="24" t="n">
        <v>23086</v>
      </c>
      <c r="E131" s="11" t="n">
        <v>43086.55</v>
      </c>
      <c r="F131" s="18" t="n">
        <v>1.8663</v>
      </c>
    </row>
    <row r="132" customFormat="false" ht="15" hidden="false" customHeight="false" outlineLevel="0" collapsed="false">
      <c r="A132" s="10" t="n">
        <v>2011</v>
      </c>
      <c r="B132" s="10" t="n">
        <v>9</v>
      </c>
      <c r="C132" s="10" t="s">
        <v>31</v>
      </c>
      <c r="D132" s="24" t="n">
        <v>13002</v>
      </c>
      <c r="E132" s="11" t="n">
        <v>23428.04</v>
      </c>
      <c r="F132" s="18" t="n">
        <v>1.8019</v>
      </c>
    </row>
    <row r="133" customFormat="false" ht="15" hidden="false" customHeight="false" outlineLevel="0" collapsed="false">
      <c r="A133" s="10" t="n">
        <v>2011</v>
      </c>
      <c r="B133" s="10" t="n">
        <v>9</v>
      </c>
      <c r="C133" s="10" t="s">
        <v>30</v>
      </c>
      <c r="D133" s="24" t="n">
        <v>11156</v>
      </c>
      <c r="E133" s="11" t="n">
        <v>18091.22</v>
      </c>
      <c r="F133" s="18" t="n">
        <v>1.6217</v>
      </c>
    </row>
    <row r="134" customFormat="false" ht="15" hidden="false" customHeight="false" outlineLevel="0" collapsed="false">
      <c r="A134" s="10" t="n">
        <v>2011</v>
      </c>
      <c r="B134" s="10" t="n">
        <v>9</v>
      </c>
      <c r="C134" s="10" t="s">
        <v>29</v>
      </c>
      <c r="D134" s="24" t="n">
        <v>17309</v>
      </c>
      <c r="E134" s="11" t="n">
        <v>26937.26</v>
      </c>
      <c r="F134" s="18" t="n">
        <v>1.5563</v>
      </c>
    </row>
    <row r="135" customFormat="false" ht="15" hidden="false" customHeight="false" outlineLevel="0" collapsed="false">
      <c r="A135" s="10" t="n">
        <v>2011</v>
      </c>
      <c r="B135" s="10" t="n">
        <v>9</v>
      </c>
      <c r="C135" s="10" t="s">
        <v>32</v>
      </c>
      <c r="D135" s="24" t="n">
        <v>27227</v>
      </c>
      <c r="E135" s="11" t="n">
        <v>49970.63</v>
      </c>
      <c r="F135" s="18" t="n">
        <v>1.8353</v>
      </c>
    </row>
    <row r="136" customFormat="false" ht="15" hidden="false" customHeight="false" outlineLevel="0" collapsed="false">
      <c r="A136" s="10" t="n">
        <v>2011</v>
      </c>
      <c r="B136" s="10" t="n">
        <v>9</v>
      </c>
      <c r="C136" s="10" t="s">
        <v>27</v>
      </c>
      <c r="D136" s="24" t="n">
        <v>479040</v>
      </c>
      <c r="E136" s="11" t="n">
        <v>897076.47</v>
      </c>
      <c r="F136" s="18" t="n">
        <v>1.8727</v>
      </c>
    </row>
    <row r="137" customFormat="false" ht="15" hidden="false" customHeight="false" outlineLevel="0" collapsed="false">
      <c r="A137" s="10" t="n">
        <v>2011</v>
      </c>
      <c r="B137" s="10" t="n">
        <v>10</v>
      </c>
      <c r="C137" s="10" t="s">
        <v>28</v>
      </c>
      <c r="D137" s="24" t="n">
        <v>15904</v>
      </c>
      <c r="E137" s="11" t="n">
        <v>24317.92</v>
      </c>
      <c r="F137" s="18" t="n">
        <v>1.529</v>
      </c>
    </row>
    <row r="138" customFormat="false" ht="15" hidden="false" customHeight="false" outlineLevel="0" collapsed="false">
      <c r="A138" s="10" t="n">
        <v>2011</v>
      </c>
      <c r="B138" s="10" t="n">
        <v>10</v>
      </c>
      <c r="C138" s="10" t="s">
        <v>31</v>
      </c>
      <c r="D138" s="24" t="n">
        <v>13807</v>
      </c>
      <c r="E138" s="11" t="n">
        <v>33485.45</v>
      </c>
      <c r="F138" s="18" t="n">
        <v>2.4253</v>
      </c>
    </row>
    <row r="139" customFormat="false" ht="15" hidden="false" customHeight="false" outlineLevel="0" collapsed="false">
      <c r="A139" s="10" t="n">
        <v>2011</v>
      </c>
      <c r="B139" s="10" t="n">
        <v>10</v>
      </c>
      <c r="C139" s="10" t="s">
        <v>30</v>
      </c>
      <c r="D139" s="24" t="n">
        <v>17740</v>
      </c>
      <c r="E139" s="11" t="n">
        <v>31638.42</v>
      </c>
      <c r="F139" s="18" t="n">
        <v>1.7835</v>
      </c>
    </row>
    <row r="140" customFormat="false" ht="15" hidden="false" customHeight="false" outlineLevel="0" collapsed="false">
      <c r="A140" s="10" t="n">
        <v>2011</v>
      </c>
      <c r="B140" s="10" t="n">
        <v>10</v>
      </c>
      <c r="C140" s="10" t="s">
        <v>29</v>
      </c>
      <c r="D140" s="24" t="n">
        <v>27230</v>
      </c>
      <c r="E140" s="11" t="n">
        <v>40708.65</v>
      </c>
      <c r="F140" s="18" t="n">
        <v>1.495</v>
      </c>
    </row>
    <row r="141" customFormat="false" ht="15" hidden="false" customHeight="false" outlineLevel="0" collapsed="false">
      <c r="A141" s="10" t="n">
        <v>2011</v>
      </c>
      <c r="B141" s="10" t="n">
        <v>10</v>
      </c>
      <c r="C141" s="10" t="s">
        <v>32</v>
      </c>
      <c r="D141" s="24" t="n">
        <v>43087</v>
      </c>
      <c r="E141" s="11" t="n">
        <v>85853.85</v>
      </c>
      <c r="F141" s="18" t="n">
        <v>1.9926</v>
      </c>
    </row>
    <row r="142" customFormat="false" ht="15" hidden="false" customHeight="false" outlineLevel="0" collapsed="false">
      <c r="A142" s="10" t="n">
        <v>2011</v>
      </c>
      <c r="B142" s="10" t="n">
        <v>10</v>
      </c>
      <c r="C142" s="10" t="s">
        <v>27</v>
      </c>
      <c r="D142" s="24" t="n">
        <v>505633</v>
      </c>
      <c r="E142" s="11" t="n">
        <v>938975.01</v>
      </c>
      <c r="F142" s="18" t="n">
        <v>1.857</v>
      </c>
    </row>
    <row r="143" customFormat="false" ht="15" hidden="false" customHeight="false" outlineLevel="0" collapsed="false">
      <c r="A143" s="10" t="n">
        <v>2011</v>
      </c>
      <c r="B143" s="10" t="n">
        <v>11</v>
      </c>
      <c r="C143" s="10" t="s">
        <v>28</v>
      </c>
      <c r="D143" s="24" t="n">
        <v>16657</v>
      </c>
      <c r="E143" s="11" t="n">
        <v>30738.43</v>
      </c>
      <c r="F143" s="18" t="n">
        <v>1.8454</v>
      </c>
    </row>
    <row r="144" customFormat="false" ht="15" hidden="false" customHeight="false" outlineLevel="0" collapsed="false">
      <c r="A144" s="10" t="n">
        <v>2011</v>
      </c>
      <c r="B144" s="10" t="n">
        <v>11</v>
      </c>
      <c r="C144" s="10" t="s">
        <v>31</v>
      </c>
      <c r="D144" s="24" t="n">
        <v>17889</v>
      </c>
      <c r="E144" s="11" t="n">
        <v>31758.71</v>
      </c>
      <c r="F144" s="18" t="n">
        <v>1.7753</v>
      </c>
    </row>
    <row r="145" customFormat="false" ht="15" hidden="false" customHeight="false" outlineLevel="0" collapsed="false">
      <c r="A145" s="10" t="n">
        <v>2011</v>
      </c>
      <c r="B145" s="10" t="n">
        <v>11</v>
      </c>
      <c r="C145" s="10" t="s">
        <v>30</v>
      </c>
      <c r="D145" s="24" t="n">
        <v>13453</v>
      </c>
      <c r="E145" s="11" t="n">
        <v>28025.02</v>
      </c>
      <c r="F145" s="18" t="n">
        <v>2.0832</v>
      </c>
    </row>
    <row r="146" customFormat="false" ht="15" hidden="false" customHeight="false" outlineLevel="0" collapsed="false">
      <c r="A146" s="10" t="n">
        <v>2011</v>
      </c>
      <c r="B146" s="10" t="n">
        <v>11</v>
      </c>
      <c r="C146" s="10" t="s">
        <v>29</v>
      </c>
      <c r="D146" s="24" t="n">
        <v>18663</v>
      </c>
      <c r="E146" s="11" t="n">
        <v>25874.01</v>
      </c>
      <c r="F146" s="18" t="n">
        <v>1.3864</v>
      </c>
    </row>
    <row r="147" customFormat="false" ht="15" hidden="false" customHeight="false" outlineLevel="0" collapsed="false">
      <c r="A147" s="10" t="n">
        <v>2011</v>
      </c>
      <c r="B147" s="10" t="n">
        <v>11</v>
      </c>
      <c r="C147" s="10" t="s">
        <v>32</v>
      </c>
      <c r="D147" s="24" t="n">
        <v>32853</v>
      </c>
      <c r="E147" s="11" t="n">
        <v>67753.95</v>
      </c>
      <c r="F147" s="18" t="n">
        <v>2.0623</v>
      </c>
    </row>
    <row r="148" customFormat="false" ht="15" hidden="false" customHeight="false" outlineLevel="0" collapsed="false">
      <c r="A148" s="10" t="n">
        <v>2011</v>
      </c>
      <c r="B148" s="10" t="n">
        <v>11</v>
      </c>
      <c r="C148" s="10" t="s">
        <v>27</v>
      </c>
      <c r="D148" s="24" t="n">
        <v>654992</v>
      </c>
      <c r="E148" s="11" t="n">
        <v>1325346.21</v>
      </c>
      <c r="F148" s="18" t="n">
        <v>2.0235</v>
      </c>
    </row>
    <row r="149" customFormat="false" ht="15" hidden="false" customHeight="false" outlineLevel="0" collapsed="false">
      <c r="A149" s="10" t="n">
        <v>2011</v>
      </c>
      <c r="B149" s="10" t="n">
        <v>12</v>
      </c>
      <c r="C149" s="10" t="s">
        <v>28</v>
      </c>
      <c r="D149" s="24" t="n">
        <v>4122</v>
      </c>
      <c r="E149" s="11" t="n">
        <v>7340.89</v>
      </c>
      <c r="F149" s="18" t="n">
        <v>1.7809</v>
      </c>
    </row>
    <row r="150" customFormat="false" ht="15" hidden="false" customHeight="false" outlineLevel="0" collapsed="false">
      <c r="A150" s="10" t="n">
        <v>2011</v>
      </c>
      <c r="B150" s="10" t="n">
        <v>12</v>
      </c>
      <c r="C150" s="10" t="s">
        <v>31</v>
      </c>
      <c r="D150" s="24" t="n">
        <v>3786</v>
      </c>
      <c r="E150" s="11" t="n">
        <v>7294.92</v>
      </c>
      <c r="F150" s="18" t="n">
        <v>1.9268</v>
      </c>
    </row>
    <row r="151" customFormat="false" ht="15" hidden="false" customHeight="false" outlineLevel="0" collapsed="false">
      <c r="A151" s="10" t="n">
        <v>2011</v>
      </c>
      <c r="B151" s="10" t="n">
        <v>12</v>
      </c>
      <c r="C151" s="10" t="s">
        <v>30</v>
      </c>
      <c r="D151" s="24" t="n">
        <v>4006</v>
      </c>
      <c r="E151" s="11" t="n">
        <v>7984.17</v>
      </c>
      <c r="F151" s="18" t="n">
        <v>1.9931</v>
      </c>
    </row>
    <row r="152" customFormat="false" ht="15" hidden="false" customHeight="false" outlineLevel="0" collapsed="false">
      <c r="A152" s="10" t="n">
        <v>2011</v>
      </c>
      <c r="B152" s="10" t="n">
        <v>12</v>
      </c>
      <c r="C152" s="10" t="s">
        <v>29</v>
      </c>
      <c r="D152" s="24" t="n">
        <v>7958</v>
      </c>
      <c r="E152" s="11" t="n">
        <v>11728.02</v>
      </c>
      <c r="F152" s="18" t="n">
        <v>1.4737</v>
      </c>
    </row>
    <row r="153" customFormat="false" ht="15" hidden="false" customHeight="false" outlineLevel="0" collapsed="false">
      <c r="A153" s="10" t="n">
        <v>2011</v>
      </c>
      <c r="B153" s="10" t="n">
        <v>12</v>
      </c>
      <c r="C153" s="10" t="s">
        <v>32</v>
      </c>
      <c r="D153" s="24" t="n">
        <v>7111</v>
      </c>
      <c r="E153" s="11" t="n">
        <v>11840.59</v>
      </c>
      <c r="F153" s="18" t="n">
        <v>1.6651</v>
      </c>
    </row>
    <row r="154" customFormat="false" ht="15" hidden="false" customHeight="false" outlineLevel="0" collapsed="false">
      <c r="A154" s="10" t="n">
        <v>2011</v>
      </c>
      <c r="B154" s="10" t="n">
        <v>12</v>
      </c>
      <c r="C154" s="10" t="s">
        <v>27</v>
      </c>
      <c r="D154" s="24" t="n">
        <v>287266</v>
      </c>
      <c r="E154" s="11" t="n">
        <v>592622.09</v>
      </c>
      <c r="F154" s="18" t="n">
        <v>2.063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5"/>
  </cols>
  <sheetData>
    <row r="1" customFormat="false" ht="18.55" hidden="false" customHeight="false" outlineLevel="0" collapsed="false">
      <c r="A1" s="12" t="s">
        <v>64</v>
      </c>
    </row>
    <row r="2" customFormat="false" ht="15" hidden="false" customHeight="false" outlineLevel="0" collapsed="false">
      <c r="A2" s="29"/>
    </row>
    <row r="3" customFormat="false" ht="15" hidden="false" customHeight="false" outlineLevel="0" collapsed="false">
      <c r="A3" s="14" t="s">
        <v>65</v>
      </c>
    </row>
    <row r="4" customFormat="false" ht="15" hidden="false" customHeight="false" outlineLevel="0" collapsed="false">
      <c r="A4" s="29" t="s">
        <v>66</v>
      </c>
    </row>
    <row r="5" customFormat="false" ht="15" hidden="false" customHeight="false" outlineLevel="0" collapsed="false">
      <c r="A5" s="29" t="s">
        <v>67</v>
      </c>
    </row>
    <row r="6" customFormat="false" ht="15" hidden="false" customHeight="false" outlineLevel="0" collapsed="false">
      <c r="A6" s="29"/>
    </row>
    <row r="7" customFormat="false" ht="15" hidden="false" customHeight="false" outlineLevel="0" collapsed="false">
      <c r="A7" s="29" t="s">
        <v>68</v>
      </c>
    </row>
    <row r="8" customFormat="false" ht="15" hidden="false" customHeight="false" outlineLevel="0" collapsed="false">
      <c r="A8" s="29" t="s">
        <v>69</v>
      </c>
    </row>
    <row r="9" customFormat="false" ht="15" hidden="false" customHeight="false" outlineLevel="0" collapsed="false">
      <c r="A9" s="29" t="s">
        <v>70</v>
      </c>
    </row>
    <row r="10" customFormat="false" ht="15" hidden="false" customHeight="false" outlineLevel="0" collapsed="false">
      <c r="A10" s="29"/>
    </row>
    <row r="11" customFormat="false" ht="15" hidden="false" customHeight="false" outlineLevel="0" collapsed="false">
      <c r="A11" s="29" t="s">
        <v>71</v>
      </c>
    </row>
    <row r="12" customFormat="false" ht="15" hidden="false" customHeight="false" outlineLevel="0" collapsed="false">
      <c r="A12" s="29" t="s">
        <v>72</v>
      </c>
    </row>
    <row r="13" customFormat="false" ht="15" hidden="false" customHeight="false" outlineLevel="0" collapsed="false">
      <c r="A13" s="29" t="s">
        <v>73</v>
      </c>
    </row>
    <row r="14" customFormat="false" ht="15" hidden="false" customHeight="false" outlineLevel="0" collapsed="false">
      <c r="A14" s="29" t="s">
        <v>74</v>
      </c>
    </row>
    <row r="15" customFormat="false" ht="15" hidden="false" customHeight="false" outlineLevel="0" collapsed="false">
      <c r="A15" s="29"/>
    </row>
    <row r="16" customFormat="false" ht="15" hidden="false" customHeight="false" outlineLevel="0" collapsed="false">
      <c r="A16" s="14" t="s">
        <v>75</v>
      </c>
    </row>
    <row r="17" customFormat="false" ht="15" hidden="false" customHeight="false" outlineLevel="0" collapsed="false">
      <c r="A17" s="29" t="s">
        <v>76</v>
      </c>
    </row>
    <row r="18" customFormat="false" ht="15" hidden="false" customHeight="false" outlineLevel="0" collapsed="false">
      <c r="A18" s="29" t="s">
        <v>77</v>
      </c>
    </row>
    <row r="19" customFormat="false" ht="15" hidden="false" customHeight="false" outlineLevel="0" collapsed="false">
      <c r="A19" s="29"/>
    </row>
    <row r="20" customFormat="false" ht="15" hidden="false" customHeight="false" outlineLevel="0" collapsed="false">
      <c r="A20" s="14" t="s">
        <v>78</v>
      </c>
    </row>
    <row r="21" customFormat="false" ht="15" hidden="false" customHeight="false" outlineLevel="0" collapsed="false">
      <c r="A21" s="29" t="s">
        <v>79</v>
      </c>
    </row>
    <row r="22" customFormat="false" ht="15" hidden="false" customHeight="false" outlineLevel="0" collapsed="false">
      <c r="A22" s="29" t="s">
        <v>80</v>
      </c>
    </row>
    <row r="23" customFormat="false" ht="15" hidden="false" customHeight="false" outlineLevel="0" collapsed="false">
      <c r="A23" s="29"/>
    </row>
    <row r="24" customFormat="false" ht="15" hidden="false" customHeight="false" outlineLevel="0" collapsed="false">
      <c r="A24" s="29" t="s">
        <v>81</v>
      </c>
    </row>
    <row r="25" customFormat="false" ht="15" hidden="false" customHeight="false" outlineLevel="0" collapsed="false">
      <c r="A25" s="29" t="s">
        <v>82</v>
      </c>
    </row>
    <row r="26" customFormat="false" ht="15" hidden="false" customHeight="false" outlineLevel="0" collapsed="false">
      <c r="A26" s="29" t="s">
        <v>83</v>
      </c>
    </row>
    <row r="27" customFormat="false" ht="15" hidden="false" customHeight="false" outlineLevel="0" collapsed="false">
      <c r="A27" s="29" t="s">
        <v>84</v>
      </c>
    </row>
    <row r="28" customFormat="false" ht="15" hidden="false" customHeight="false" outlineLevel="0" collapsed="false">
      <c r="A28" s="29" t="s">
        <v>85</v>
      </c>
    </row>
    <row r="29" customFormat="false" ht="15" hidden="false" customHeight="false" outlineLevel="0" collapsed="false">
      <c r="A29" s="29"/>
    </row>
    <row r="30" customFormat="false" ht="15" hidden="false" customHeight="false" outlineLevel="0" collapsed="false">
      <c r="A30" s="14" t="s">
        <v>86</v>
      </c>
    </row>
    <row r="31" customFormat="false" ht="15" hidden="false" customHeight="false" outlineLevel="0" collapsed="false">
      <c r="A31" s="29" t="s">
        <v>87</v>
      </c>
    </row>
    <row r="32" customFormat="false" ht="15" hidden="false" customHeight="false" outlineLevel="0" collapsed="false">
      <c r="A32" s="29" t="s"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2026-06-03T09:11:50Z</dcterms:created>
  <dc:creator>openpyxl</dc:creator>
  <dc:description/>
  <dc:language>en-US</dc:language>
  <cp:lastModifiedBy/>
  <dcterms:modified xsi:type="dcterms:W3CDTF">2026-06-09T09:01:42Z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