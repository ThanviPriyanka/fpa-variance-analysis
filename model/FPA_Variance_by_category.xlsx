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del" sheetId="2" state="visible" r:id="rId4"/>
    <sheet name="Assumptions" sheetId="3" state="visible" r:id="rId5"/>
    <sheet name="Data" sheetId="4" state="visible" r:id="rId6"/>
    <sheet name="Notes" sheetId="5" state="visible" r:id="rId7"/>
  </sheets>
  <definedNames>
    <definedName function="false" hidden="false" localSheetId="0" name="_xlnm.Print_Area" vbProcedure="false">Dashboard!$A$1:$H$44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<sst xmlns="http://schemas.openxmlformats.org/spreadsheetml/2006/main" count="314" uniqueCount="94">
  <si>
    <t xml:space="preserve">FY2011 Revenue Variance  —  Plan vs Actual  (by product category)</t>
  </si>
  <si>
    <t xml:space="preserve">Finding: revenue came in ~9% below a +10% growth plan, driven by a volume shortfall (-£1.42M). Pricing (+£0.35M) and mix (+£0.18M) partly offset it. Unlike the by-market view, product mix is now a real story: customers shifted toward Storage and Home &amp; Decor and away from Kitchen &amp; Dining and the long tail. Like-for-like Jan–Nov.</t>
  </si>
  <si>
    <t xml:space="preserve">Helper tables (drive the charts)</t>
  </si>
  <si>
    <t xml:space="preserve">Budget revenue</t>
  </si>
  <si>
    <t xml:space="preserve">Actual revenue</t>
  </si>
  <si>
    <t xml:space="preserve">Total variance</t>
  </si>
  <si>
    <t xml:space="preserve">Variance %</t>
  </si>
  <si>
    <t xml:space="preserve">Step</t>
  </si>
  <si>
    <t xml:space="preserve">Value</t>
  </si>
  <si>
    <t xml:space="preserve">CumEnd</t>
  </si>
  <si>
    <t xml:space="preserve">Base</t>
  </si>
  <si>
    <t xml:space="preserve">Decrease</t>
  </si>
  <si>
    <t xml:space="preserve">Increase</t>
  </si>
  <si>
    <t xml:space="preserve">Total</t>
  </si>
  <si>
    <t xml:space="preserve">Budget</t>
  </si>
  <si>
    <t xml:space="preserve">Volume</t>
  </si>
  <si>
    <t xml:space="preserve">Mix</t>
  </si>
  <si>
    <t xml:space="preserve">Price</t>
  </si>
  <si>
    <t xml:space="preserve">Actual</t>
  </si>
  <si>
    <t xml:space="preserve">Month</t>
  </si>
  <si>
    <t xml:space="preserve">Calculation engine  —  Base → Budget → Actual → Price/Volume/Mix bridge</t>
  </si>
  <si>
    <t xml:space="preserve">All figures are Jan–Nov (like-for-like). Segment = market.</t>
  </si>
  <si>
    <t xml:space="preserve">1.  Base year actuals  (Jan–Nov, = Assumptions base year)</t>
  </si>
  <si>
    <t xml:space="preserve">Market</t>
  </si>
  <si>
    <t xml:space="preserve">Units</t>
  </si>
  <si>
    <t xml:space="preserve">Revenue</t>
  </si>
  <si>
    <t xml:space="preserve">Avg Price</t>
  </si>
  <si>
    <t xml:space="preserve">Home &amp; Decor</t>
  </si>
  <si>
    <t xml:space="preserve">Kitchen &amp; Dining</t>
  </si>
  <si>
    <t xml:space="preserve">Storage</t>
  </si>
  <si>
    <t xml:space="preserve">Bags</t>
  </si>
  <si>
    <t xml:space="preserve">Lighting</t>
  </si>
  <si>
    <t xml:space="preserve">Party &amp; Seasonal</t>
  </si>
  <si>
    <t xml:space="preserve">Stationery &amp; Craft</t>
  </si>
  <si>
    <t xml:space="preserve">Other</t>
  </si>
  <si>
    <t xml:space="preserve">2.  Budget  (base × plan assumptions)</t>
  </si>
  <si>
    <t xml:space="preserve">Vol Gr %</t>
  </si>
  <si>
    <t xml:space="preserve">Price Ch %</t>
  </si>
  <si>
    <t xml:space="preserve">Bud Units</t>
  </si>
  <si>
    <t xml:space="preserve">Bud Price</t>
  </si>
  <si>
    <t xml:space="preserve">Bud Revenue</t>
  </si>
  <si>
    <t xml:space="preserve">3.  Actual  (Jan–Nov, = Assumptions budget year)  +  per-segment effects</t>
  </si>
  <si>
    <t xml:space="preserve">Act Units</t>
  </si>
  <si>
    <t xml:space="preserve">Act Revenue</t>
  </si>
  <si>
    <t xml:space="preserve">Act Price</t>
  </si>
  <si>
    <t xml:space="preserve">Mix effect</t>
  </si>
  <si>
    <t xml:space="preserve">Price effect</t>
  </si>
  <si>
    <t xml:space="preserve">4.  Revenue bridge:  Budget → Volume → Mix → Price → Actual</t>
  </si>
  <si>
    <t xml:space="preserve">Volume effect</t>
  </si>
  <si>
    <t xml:space="preserve">Bridge check (≈0)</t>
  </si>
  <si>
    <t xml:space="preserve">FP&amp;A Variance Model  —  Assumptions (the plan, set in advance)</t>
  </si>
  <si>
    <t xml:space="preserve">Base year (actuals the plan is built from)</t>
  </si>
  <si>
    <t xml:space="preserve">Budget year (plan vs actual compared)</t>
  </si>
  <si>
    <t xml:space="preserve">Through month (period cutoff)</t>
  </si>
  <si>
    <t xml:space="preserve">Set to 11: December 2011 is truncated in the source, so compare like-for-like (Jan-Nov).</t>
  </si>
  <si>
    <t xml:space="preserve">Blue / shaded cells are inputs. Change them and the whole model + bridge update.</t>
  </si>
  <si>
    <t xml:space="preserve">Comparison is like-for-like Jan–Nov (December 2011 is truncated in the source, so it is excluded).</t>
  </si>
  <si>
    <t xml:space="preserve">Market segment</t>
  </si>
  <si>
    <t xml:space="preserve">Volume Growth %</t>
  </si>
  <si>
    <t xml:space="preserve">Price Change %</t>
  </si>
  <si>
    <t xml:space="preserve">MONTHLY FACT TABLE  —  output of sql/build_fact_table_by_category.sql (DuckDB)</t>
  </si>
  <si>
    <t xml:space="preserve">Imported from the data pipeline (real Online Retail II). Re-run the SQL to refresh; do not edit by hand.</t>
  </si>
  <si>
    <t xml:space="preserve">year</t>
  </si>
  <si>
    <t xml:space="preserve">month</t>
  </si>
  <si>
    <t xml:space="preserve">category</t>
  </si>
  <si>
    <t xml:space="preserve">units</t>
  </si>
  <si>
    <t xml:space="preserve">revenue</t>
  </si>
  <si>
    <t xml:space="preserve">avg_price</t>
  </si>
  <si>
    <t xml:space="preserve">Methodology &amp; Notes</t>
  </si>
  <si>
    <t xml:space="preserve">DATA SOURCE</t>
  </si>
  <si>
    <t xml:space="preserve">• UCI 'Online Retail II' — real UK online-retail transactions, Dec 2009 – Dec 2011 (~1.07M rows).</t>
  </si>
  <si>
    <t xml:space="preserve">• Pipeline: sql/build_fact_table_by_category.sql (DuckDB).</t>
  </si>
  <si>
    <t xml:space="preserve">CLEANING  (Stage 2 profiling on 1,067,371 raw rows)</t>
  </si>
  <si>
    <t xml:space="preserve">• Dropped cancellations ('C' invoices), non-positive quantities, and non-positive prices (~2.4%).</t>
  </si>
  <si>
    <t xml:space="preserve">• Kept 1,041,670 rows (97.6%). Missing Customer IDs (243,007) retained — revenue does not need them.</t>
  </si>
  <si>
    <t xml:space="preserve">SEGMENTATION  (v2 'by product category' cut)</t>
  </si>
  <si>
    <t xml:space="preserve">• Segment = product category derived from item descriptions via keyword rules in the SQL.</t>
  </si>
  <si>
    <t xml:space="preserve">• Eight categories: Home &amp; Decor, Kitchen &amp; Dining, Storage, Bags, Lighting, Party &amp; Seasonal, Stationery &amp; Craft, Other.</t>
  </si>
  <si>
    <t xml:space="preserve">• Non-product lines (postage, carriage, manual adjustments, gift vouchers, ~GBP 0.84M) are excluded.</t>
  </si>
  <si>
    <t xml:space="preserve">• 'Other' is ~23% of revenue (genuine long-tail miscellany); categories are balanced, so mix is a real driver here.</t>
  </si>
  <si>
    <t xml:space="preserve">COMPARISON PERIOD</t>
  </si>
  <si>
    <t xml:space="preserve">• Like-for-like Jan–Nov 2010 vs Jan–Nov 2011. December 2011 is truncated in the source (data ends</t>
  </si>
  <si>
    <t xml:space="preserve">  mid-December), so including it would invent a false ~£0.6M shortfall. December is excluded from both years.</t>
  </si>
  <si>
    <t xml:space="preserve">FORECAST / BUDGET</t>
  </si>
  <si>
    <t xml:space="preserve">• Driver-based: Budget = base-year actuals × (1 + Volume Growth %) × (1 + Price Change %), per segment.</t>
  </si>
  <si>
    <t xml:space="preserve">• Plan set in advance on the Assumptions tab (default +10% volume, +3% price). All inputs editable.</t>
  </si>
  <si>
    <t xml:space="preserve">PRICE / VOLUME / MIX BRIDGE  (decomposes Actual − Budget revenue variance)</t>
  </si>
  <si>
    <t xml:space="preserve">• Volume = (Total Actual units − Total Budget units) × Budget weighted-avg price</t>
  </si>
  <si>
    <t xml:space="preserve">• Mix    = Σ [ Actual units_i − Budget units_i × (Total Actual / Total Budget) ] × Budget price_i</t>
  </si>
  <si>
    <t xml:space="preserve">• Price  = Σ ( Actual price_i − Budget price_i ) × Actual units_i</t>
  </si>
  <si>
    <t xml:space="preserve">• Volume + Mix + Price = total variance (see 'Bridge check' on the Model tab — it equals ~£0).</t>
  </si>
  <si>
    <t xml:space="preserve">HONESTY NOTE</t>
  </si>
  <si>
    <t xml:space="preserve">• The budget is a constructed plan for this exercise; the finding is conditional on the plan assumptions.</t>
  </si>
  <si>
    <t xml:space="preserve">• Change the Assumptions and the variance — and the story — change accordingly.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</si>
</sst>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£#,##0;&quot;(£&quot;#,##0\);\-"/>
    <numFmt numFmtId="166" formatCode="0.0%"/>
    <numFmt numFmtId="167" formatCode="#,##0;\(#,##0\);\-"/>
    <numFmt numFmtId="168" formatCode="\£#,##0.00;&quot;(£&quot;#,##0.00\);\-"/>
    <numFmt numFmtId="169" formatCode="\£#,##0.00"/>
    <numFmt numFmtId="170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9333B"/>
      <name val="Arial"/>
      <family val="0"/>
      <charset val="1"/>
    </font>
    <font>
      <i val="true"/>
      <sz val="10"/>
      <color rgb="FF566066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29333B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29333B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color rgb="FF0E7C7B"/>
      <name val="Arial"/>
      <family val="0"/>
      <charset val="1"/>
    </font>
    <font>
      <sz val="11"/>
      <color rgb="FF0E7C7B"/>
      <name val="Arial"/>
      <family val="0"/>
      <charset val="1"/>
    </font>
    <font>
      <b val="true"/>
      <sz val="11"/>
      <color rgb="FF29333B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40404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9333B"/>
        <bgColor rgb="FF404040"/>
      </patternFill>
    </fill>
    <fill>
      <patternFill patternType="solid">
        <fgColor rgb="FFE8EEEE"/>
        <bgColor rgb="FFFFF2CC"/>
      </patternFill>
    </fill>
    <fill>
      <patternFill patternType="solid">
        <fgColor rgb="FFFFF2CC"/>
        <bgColor rgb="FFE8EE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2D2"/>
      </left>
      <right style="thin">
        <color rgb="FFC9D2D2"/>
      </right>
      <top style="thin">
        <color rgb="FFC9D2D2"/>
      </top>
      <bottom style="thin">
        <color rgb="FFC9D2D2"/>
      </bottom>
      <diagonal/>
    </border>
    <border diagonalUp="false" diagonalDown="false">
      <left/>
      <right/>
      <top style="thin">
        <color rgb="FF29333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D9D9D9"/>
      <rgbColor rgb="FF808080"/>
      <rgbColor rgb="FF878787"/>
      <rgbColor rgb="FF993366"/>
      <rgbColor rgb="FFFFF2CC"/>
      <rgbColor rgb="FFE8EEEE"/>
      <rgbColor rgb="FF660066"/>
      <rgbColor rgb="FFFF8080"/>
      <rgbColor rgb="FF0066CC"/>
      <rgbColor rgb="FFC9D2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066"/>
      <rgbColor rgb="FF9AA5A5"/>
      <rgbColor rgb="FF003366"/>
      <rgbColor rgb="FF2E7D32"/>
      <rgbColor rgb="FF003300"/>
      <rgbColor rgb="FF404040"/>
      <rgbColor rgb="FFC0392B"/>
      <rgbColor rgb="FF993366"/>
      <rgbColor rgb="FF333399"/>
      <rgbColor rgb="FF2933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Bridge: Budget → Actual (£, Jan–Nov)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Dashboard!M4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Dashboard!$J$5:$J$9</c:f>
              <c:strCache>
                <c:ptCount val="5"/>
                <c:pt idx="0">
                  <c:v>Budget</c:v>
                </c:pt>
                <c:pt idx="1">
                  <c:v>Volume</c:v>
                </c:pt>
                <c:pt idx="2">
                  <c:v>Mix</c:v>
                </c:pt>
                <c:pt idx="3">
                  <c:v>Price</c:v>
                </c:pt>
                <c:pt idx="4">
                  <c:v>Actual</c:v>
                </c:pt>
              </c:strCache>
            </c:strRef>
          </c:cat>
          <c:val>
            <c:numRef>
              <c:f>Dashboard!$M$5:$M$9</c:f>
              <c:numCache>
                <c:formatCode>\£#,##0;"(£"#,##0\);\-</c:formatCode>
                <c:ptCount val="5"/>
                <c:pt idx="0">
                  <c:v>0</c:v>
                </c:pt>
                <c:pt idx="1">
                  <c:v>8363475.00332334</c:v>
                </c:pt>
                <c:pt idx="2">
                  <c:v>8363475.00332334</c:v>
                </c:pt>
                <c:pt idx="3">
                  <c:v>8540788.95844717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Dashboard!N4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Dashboard!$J$5:$J$9</c:f>
              <c:strCache>
                <c:ptCount val="5"/>
                <c:pt idx="0">
                  <c:v>Budget</c:v>
                </c:pt>
                <c:pt idx="1">
                  <c:v>Volume</c:v>
                </c:pt>
                <c:pt idx="2">
                  <c:v>Mix</c:v>
                </c:pt>
                <c:pt idx="3">
                  <c:v>Price</c:v>
                </c:pt>
                <c:pt idx="4">
                  <c:v>Actual</c:v>
                </c:pt>
              </c:strCache>
            </c:strRef>
          </c:cat>
          <c:val>
            <c:numRef>
              <c:f>Dashboard!$N$5:$N$9</c:f>
              <c:numCache>
                <c:formatCode>\£#,##0;"(£"#,##0\);\-</c:formatCode>
                <c:ptCount val="5"/>
                <c:pt idx="0">
                  <c:v>0</c:v>
                </c:pt>
                <c:pt idx="1">
                  <c:v>1424111.58314666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Dashboard!O4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Dashboard!$J$5:$J$9</c:f>
              <c:strCache>
                <c:ptCount val="5"/>
                <c:pt idx="0">
                  <c:v>Budget</c:v>
                </c:pt>
                <c:pt idx="1">
                  <c:v>Volume</c:v>
                </c:pt>
                <c:pt idx="2">
                  <c:v>Mix</c:v>
                </c:pt>
                <c:pt idx="3">
                  <c:v>Price</c:v>
                </c:pt>
                <c:pt idx="4">
                  <c:v>Actual</c:v>
                </c:pt>
              </c:strCache>
            </c:strRef>
          </c:cat>
          <c:val>
            <c:numRef>
              <c:f>Dashboard!$O$5:$O$9</c:f>
              <c:numCache>
                <c:formatCode>\£#,##0;"(£"#,##0\);\-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177313.955123826</c:v>
                </c:pt>
                <c:pt idx="3">
                  <c:v>347210.841552834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Dashboard!P4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9333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Dashboard!$J$5:$J$9</c:f>
              <c:strCache>
                <c:ptCount val="5"/>
                <c:pt idx="0">
                  <c:v>Budget</c:v>
                </c:pt>
                <c:pt idx="1">
                  <c:v>Volume</c:v>
                </c:pt>
                <c:pt idx="2">
                  <c:v>Mix</c:v>
                </c:pt>
                <c:pt idx="3">
                  <c:v>Price</c:v>
                </c:pt>
                <c:pt idx="4">
                  <c:v>Actual</c:v>
                </c:pt>
              </c:strCache>
            </c:strRef>
          </c:cat>
          <c:val>
            <c:numRef>
              <c:f>Dashboard!$P$5:$P$9</c:f>
              <c:numCache>
                <c:formatCode>\£#,##0;"(£"#,##0\);\-</c:formatCode>
                <c:ptCount val="5"/>
                <c:pt idx="0">
                  <c:v>9787586.58647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8887999.8</c:v>
                </c:pt>
              </c:numCache>
            </c:numRef>
          </c:val>
        </c:ser>
        <c:gapWidth val="150"/>
        <c:overlap val="100"/>
        <c:axId val="3401203"/>
        <c:axId val="73381657"/>
      </c:barChart>
      <c:catAx>
        <c:axId val="34012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381657"/>
        <c:crosses val="autoZero"/>
        <c:auto val="1"/>
        <c:lblAlgn val="ctr"/>
        <c:lblOffset val="100"/>
        <c:noMultiLvlLbl val="0"/>
      </c:catAx>
      <c:valAx>
        <c:axId val="73381657"/>
        <c:scaling>
          <c:orientation val="minMax"/>
        </c:scaling>
        <c:delete val="0"/>
        <c:axPos val="l"/>
        <c:numFmt formatCode="\£#,##0;&quot;(£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12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Revenue: Budget vs Actual (£, Jan–Nov)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Dashboard!K12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9aa5a5"/>
            </a:solidFill>
            <a:ln w="28440">
              <a:solidFill>
                <a:srgbClr val="9a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Dashboard!$J$13:$J$23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Dashboard!$K$13:$K$23</c:f>
              <c:numCache>
                <c:formatCode>\£#,##0;"(£"#,##0\);\-</c:formatCode>
                <c:ptCount val="11"/>
                <c:pt idx="0">
                  <c:v>705676.29242</c:v>
                </c:pt>
                <c:pt idx="1">
                  <c:v>611547.72877</c:v>
                </c:pt>
                <c:pt idx="2">
                  <c:v>865990.25205</c:v>
                </c:pt>
                <c:pt idx="3">
                  <c:v>735484.40075</c:v>
                </c:pt>
                <c:pt idx="4">
                  <c:v>731631.78154</c:v>
                </c:pt>
                <c:pt idx="5">
                  <c:v>793153.33031</c:v>
                </c:pt>
                <c:pt idx="6">
                  <c:v>719338.28967</c:v>
                </c:pt>
                <c:pt idx="7">
                  <c:v>766194.33176</c:v>
                </c:pt>
                <c:pt idx="8">
                  <c:v>987838.15922</c:v>
                </c:pt>
                <c:pt idx="9">
                  <c:v>1244054.02011</c:v>
                </c:pt>
                <c:pt idx="10">
                  <c:v>1626677.99987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Dashboard!L12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e7c7b"/>
            </a:solidFill>
            <a:ln w="29880">
              <a:solidFill>
                <a:srgbClr val="0e7c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Dashboard!$J$13:$J$23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Dashboard!$L$13:$L$23</c:f>
              <c:numCache>
                <c:formatCode>\£#,##0;"(£"#,##0\);\-</c:formatCode>
                <c:ptCount val="11"/>
                <c:pt idx="0">
                  <c:v>671933.19</c:v>
                </c:pt>
                <c:pt idx="1">
                  <c:v>508886.2</c:v>
                </c:pt>
                <c:pt idx="2">
                  <c:v>691257.61</c:v>
                </c:pt>
                <c:pt idx="3">
                  <c:v>516248.12</c:v>
                </c:pt>
                <c:pt idx="4">
                  <c:v>741177.41</c:v>
                </c:pt>
                <c:pt idx="5">
                  <c:v>738601.87</c:v>
                </c:pt>
                <c:pt idx="6">
                  <c:v>689199.41</c:v>
                </c:pt>
                <c:pt idx="7">
                  <c:v>736357.23</c:v>
                </c:pt>
                <c:pt idx="8">
                  <c:v>1030385.36</c:v>
                </c:pt>
                <c:pt idx="9">
                  <c:v>1106582.87</c:v>
                </c:pt>
                <c:pt idx="10">
                  <c:v>1457370.53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443774"/>
        <c:axId val="81472909"/>
      </c:lineChart>
      <c:catAx>
        <c:axId val="964437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72909"/>
        <c:crosses val="autoZero"/>
        <c:auto val="1"/>
        <c:lblAlgn val="ctr"/>
        <c:lblOffset val="100"/>
        <c:noMultiLvlLbl val="0"/>
      </c:catAx>
      <c:valAx>
        <c:axId val="814729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;&quot;(£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437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130680</xdr:rowOff>
    </xdr:from>
    <xdr:to>
      <xdr:col>6</xdr:col>
      <xdr:colOff>410040</xdr:colOff>
      <xdr:row>21</xdr:row>
      <xdr:rowOff>142200</xdr:rowOff>
    </xdr:to>
    <xdr:graphicFrame>
      <xdr:nvGraphicFramePr>
        <xdr:cNvPr id="0" name="Chart 1"/>
        <xdr:cNvGraphicFramePr/>
      </xdr:nvGraphicFramePr>
      <xdr:xfrm>
        <a:off x="0" y="1619280"/>
        <a:ext cx="611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130680</xdr:rowOff>
    </xdr:from>
    <xdr:to>
      <xdr:col>6</xdr:col>
      <xdr:colOff>410040</xdr:colOff>
      <xdr:row>40</xdr:row>
      <xdr:rowOff>142200</xdr:rowOff>
    </xdr:to>
    <xdr:graphicFrame>
      <xdr:nvGraphicFramePr>
        <xdr:cNvPr id="1" name="Chart 2"/>
        <xdr:cNvGraphicFramePr/>
      </xdr:nvGraphicFramePr>
      <xdr:xfrm>
        <a:off x="0" y="5238720"/>
        <a:ext cx="6119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8" min="2" style="1" width="13"/>
    <col collapsed="false" customWidth="true" hidden="false" outlineLevel="0" max="16" min="10" style="1" width="11"/>
  </cols>
  <sheetData>
    <row r="1" customFormat="false" ht="19.7" hidden="false" customHeight="false" outlineLevel="0" collapsed="false">
      <c r="A1" s="2" t="s">
        <v>0</v>
      </c>
    </row>
    <row r="2" customFormat="false" ht="4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J3" s="4" t="s">
        <v>2</v>
      </c>
    </row>
    <row r="4" customFormat="false" ht="15" hidden="false" customHeight="false" outlineLevel="0" collapsed="false">
      <c r="A4" s="5" t="s">
        <v>3</v>
      </c>
      <c r="B4" s="5"/>
      <c r="C4" s="5" t="s">
        <v>4</v>
      </c>
      <c r="D4" s="5"/>
      <c r="E4" s="5" t="s">
        <v>5</v>
      </c>
      <c r="F4" s="5"/>
      <c r="G4" s="5" t="s">
        <v>6</v>
      </c>
      <c r="H4" s="5"/>
      <c r="J4" s="6" t="s">
        <v>7</v>
      </c>
      <c r="K4" s="6" t="s">
        <v>8</v>
      </c>
      <c r="L4" s="6" t="s">
        <v>9</v>
      </c>
      <c r="M4" s="6" t="s">
        <v>10</v>
      </c>
      <c r="N4" s="6" t="s">
        <v>11</v>
      </c>
      <c r="O4" s="6" t="s">
        <v>12</v>
      </c>
      <c r="P4" s="6" t="s">
        <v>13</v>
      </c>
    </row>
    <row r="5" customFormat="false" ht="25.5" hidden="false" customHeight="true" outlineLevel="0" collapsed="false">
      <c r="A5" s="7" t="n">
        <f aca="false">Model!F25</f>
        <v>9787586.58647</v>
      </c>
      <c r="B5" s="7"/>
      <c r="C5" s="7" t="n">
        <f aca="false">Model!C37</f>
        <v>8887999.8</v>
      </c>
      <c r="D5" s="7"/>
      <c r="E5" s="8" t="n">
        <f aca="false">Model!C37-Model!F25</f>
        <v>-899586.78647</v>
      </c>
      <c r="F5" s="8"/>
      <c r="G5" s="9" t="n">
        <f aca="false">(Model!C37-Model!F25)/Model!F25</f>
        <v>-0.0919109913891904</v>
      </c>
      <c r="H5" s="9"/>
      <c r="J5" s="10" t="s">
        <v>14</v>
      </c>
      <c r="K5" s="11" t="n">
        <f aca="false">Model!B40</f>
        <v>9787586.58647</v>
      </c>
      <c r="L5" s="11" t="n">
        <f aca="false">K5</f>
        <v>9787586.58647</v>
      </c>
      <c r="M5" s="11" t="n">
        <v>0</v>
      </c>
      <c r="N5" s="11" t="n">
        <v>0</v>
      </c>
      <c r="O5" s="11" t="n">
        <v>0</v>
      </c>
      <c r="P5" s="11" t="n">
        <f aca="false">K5</f>
        <v>9787586.58647</v>
      </c>
    </row>
    <row r="6" customFormat="false" ht="15" hidden="false" customHeight="false" outlineLevel="0" collapsed="false">
      <c r="J6" s="10" t="s">
        <v>15</v>
      </c>
      <c r="K6" s="11" t="n">
        <f aca="false">Model!B41</f>
        <v>-1424111.58314666</v>
      </c>
      <c r="L6" s="11" t="n">
        <f aca="false">L5+K6</f>
        <v>8363475.00332334</v>
      </c>
      <c r="M6" s="11" t="n">
        <f aca="false">L6-MAX(K6,0)</f>
        <v>8363475.00332334</v>
      </c>
      <c r="N6" s="11" t="n">
        <f aca="false">MAX(-K6,0)</f>
        <v>1424111.58314666</v>
      </c>
      <c r="O6" s="11" t="n">
        <f aca="false">MAX(K6,0)</f>
        <v>0</v>
      </c>
      <c r="P6" s="11" t="n">
        <v>0</v>
      </c>
    </row>
    <row r="7" customFormat="false" ht="15" hidden="false" customHeight="false" outlineLevel="0" collapsed="false">
      <c r="J7" s="10" t="s">
        <v>16</v>
      </c>
      <c r="K7" s="11" t="n">
        <f aca="false">Model!B42</f>
        <v>177313.955123826</v>
      </c>
      <c r="L7" s="11" t="n">
        <f aca="false">L6+K7</f>
        <v>8540788.95844717</v>
      </c>
      <c r="M7" s="11" t="n">
        <f aca="false">L7-MAX(K7,0)</f>
        <v>8363475.00332334</v>
      </c>
      <c r="N7" s="11" t="n">
        <f aca="false">MAX(-K7,0)</f>
        <v>0</v>
      </c>
      <c r="O7" s="11" t="n">
        <f aca="false">MAX(K7,0)</f>
        <v>177313.955123826</v>
      </c>
      <c r="P7" s="11" t="n">
        <v>0</v>
      </c>
    </row>
    <row r="8" customFormat="false" ht="15" hidden="false" customHeight="false" outlineLevel="0" collapsed="false">
      <c r="J8" s="10" t="s">
        <v>17</v>
      </c>
      <c r="K8" s="11" t="n">
        <f aca="false">Model!B43</f>
        <v>347210.841552834</v>
      </c>
      <c r="L8" s="11" t="n">
        <f aca="false">L7+K8</f>
        <v>8887999.8</v>
      </c>
      <c r="M8" s="11" t="n">
        <f aca="false">L8-MAX(K8,0)</f>
        <v>8540788.95844717</v>
      </c>
      <c r="N8" s="11" t="n">
        <f aca="false">MAX(-K8,0)</f>
        <v>0</v>
      </c>
      <c r="O8" s="11" t="n">
        <f aca="false">MAX(K8,0)</f>
        <v>347210.841552834</v>
      </c>
      <c r="P8" s="11" t="n">
        <v>0</v>
      </c>
    </row>
    <row r="9" customFormat="false" ht="15" hidden="false" customHeight="false" outlineLevel="0" collapsed="false">
      <c r="J9" s="10" t="s">
        <v>18</v>
      </c>
      <c r="K9" s="11" t="n">
        <f aca="false">Model!B44</f>
        <v>8887999.8</v>
      </c>
      <c r="L9" s="11" t="n">
        <f aca="false">K9</f>
        <v>8887999.8</v>
      </c>
      <c r="M9" s="11" t="n">
        <v>0</v>
      </c>
      <c r="N9" s="11" t="n">
        <v>0</v>
      </c>
      <c r="O9" s="11" t="n">
        <v>0</v>
      </c>
      <c r="P9" s="11" t="n">
        <f aca="false">K9</f>
        <v>8887999.8</v>
      </c>
    </row>
    <row r="12" customFormat="false" ht="15" hidden="false" customHeight="false" outlineLevel="0" collapsed="false">
      <c r="J12" s="6" t="s">
        <v>19</v>
      </c>
      <c r="K12" s="6" t="s">
        <v>14</v>
      </c>
      <c r="L12" s="6" t="s">
        <v>18</v>
      </c>
    </row>
    <row r="13" customFormat="false" ht="15" hidden="false" customHeight="false" outlineLevel="0" collapsed="false">
      <c r="J13" s="10" t="n">
        <v>1</v>
      </c>
      <c r="K13" s="11" t="n">
        <f aca="false">SUMIFS(Data!$E:$E,Data!$A:$A,Assumptions!$B$3,Data!$B:$B,J13)*(Model!$F$25/Model!$C$13)</f>
        <v>705676.29242</v>
      </c>
      <c r="L13" s="11" t="n">
        <f aca="false">SUMIFS(Data!$E:$E,Data!$A:$A,Assumptions!$B$4,Data!$B:$B,J13)</f>
        <v>671933.19</v>
      </c>
    </row>
    <row r="14" customFormat="false" ht="15" hidden="false" customHeight="false" outlineLevel="0" collapsed="false">
      <c r="J14" s="10" t="n">
        <v>2</v>
      </c>
      <c r="K14" s="11" t="n">
        <f aca="false">SUMIFS(Data!$E:$E,Data!$A:$A,Assumptions!$B$3,Data!$B:$B,J14)*(Model!$F$25/Model!$C$13)</f>
        <v>611547.72877</v>
      </c>
      <c r="L14" s="11" t="n">
        <f aca="false">SUMIFS(Data!$E:$E,Data!$A:$A,Assumptions!$B$4,Data!$B:$B,J14)</f>
        <v>508886.2</v>
      </c>
    </row>
    <row r="15" customFormat="false" ht="15" hidden="false" customHeight="false" outlineLevel="0" collapsed="false">
      <c r="J15" s="10" t="n">
        <v>3</v>
      </c>
      <c r="K15" s="11" t="n">
        <f aca="false">SUMIFS(Data!$E:$E,Data!$A:$A,Assumptions!$B$3,Data!$B:$B,J15)*(Model!$F$25/Model!$C$13)</f>
        <v>865990.25205</v>
      </c>
      <c r="L15" s="11" t="n">
        <f aca="false">SUMIFS(Data!$E:$E,Data!$A:$A,Assumptions!$B$4,Data!$B:$B,J15)</f>
        <v>691257.61</v>
      </c>
    </row>
    <row r="16" customFormat="false" ht="15" hidden="false" customHeight="false" outlineLevel="0" collapsed="false">
      <c r="J16" s="10" t="n">
        <v>4</v>
      </c>
      <c r="K16" s="11" t="n">
        <f aca="false">SUMIFS(Data!$E:$E,Data!$A:$A,Assumptions!$B$3,Data!$B:$B,J16)*(Model!$F$25/Model!$C$13)</f>
        <v>735484.40075</v>
      </c>
      <c r="L16" s="11" t="n">
        <f aca="false">SUMIFS(Data!$E:$E,Data!$A:$A,Assumptions!$B$4,Data!$B:$B,J16)</f>
        <v>516248.12</v>
      </c>
    </row>
    <row r="17" customFormat="false" ht="15" hidden="false" customHeight="false" outlineLevel="0" collapsed="false">
      <c r="J17" s="10" t="n">
        <v>5</v>
      </c>
      <c r="K17" s="11" t="n">
        <f aca="false">SUMIFS(Data!$E:$E,Data!$A:$A,Assumptions!$B$3,Data!$B:$B,J17)*(Model!$F$25/Model!$C$13)</f>
        <v>731631.78154</v>
      </c>
      <c r="L17" s="11" t="n">
        <f aca="false">SUMIFS(Data!$E:$E,Data!$A:$A,Assumptions!$B$4,Data!$B:$B,J17)</f>
        <v>741177.41</v>
      </c>
    </row>
    <row r="18" customFormat="false" ht="15" hidden="false" customHeight="false" outlineLevel="0" collapsed="false">
      <c r="J18" s="10" t="n">
        <v>6</v>
      </c>
      <c r="K18" s="11" t="n">
        <f aca="false">SUMIFS(Data!$E:$E,Data!$A:$A,Assumptions!$B$3,Data!$B:$B,J18)*(Model!$F$25/Model!$C$13)</f>
        <v>793153.33031</v>
      </c>
      <c r="L18" s="11" t="n">
        <f aca="false">SUMIFS(Data!$E:$E,Data!$A:$A,Assumptions!$B$4,Data!$B:$B,J18)</f>
        <v>738601.87</v>
      </c>
    </row>
    <row r="19" customFormat="false" ht="15" hidden="false" customHeight="false" outlineLevel="0" collapsed="false">
      <c r="J19" s="10" t="n">
        <v>7</v>
      </c>
      <c r="K19" s="11" t="n">
        <f aca="false">SUMIFS(Data!$E:$E,Data!$A:$A,Assumptions!$B$3,Data!$B:$B,J19)*(Model!$F$25/Model!$C$13)</f>
        <v>719338.28967</v>
      </c>
      <c r="L19" s="11" t="n">
        <f aca="false">SUMIFS(Data!$E:$E,Data!$A:$A,Assumptions!$B$4,Data!$B:$B,J19)</f>
        <v>689199.41</v>
      </c>
    </row>
    <row r="20" customFormat="false" ht="15" hidden="false" customHeight="false" outlineLevel="0" collapsed="false">
      <c r="J20" s="10" t="n">
        <v>8</v>
      </c>
      <c r="K20" s="11" t="n">
        <f aca="false">SUMIFS(Data!$E:$E,Data!$A:$A,Assumptions!$B$3,Data!$B:$B,J20)*(Model!$F$25/Model!$C$13)</f>
        <v>766194.33176</v>
      </c>
      <c r="L20" s="11" t="n">
        <f aca="false">SUMIFS(Data!$E:$E,Data!$A:$A,Assumptions!$B$4,Data!$B:$B,J20)</f>
        <v>736357.23</v>
      </c>
    </row>
    <row r="21" customFormat="false" ht="15" hidden="false" customHeight="false" outlineLevel="0" collapsed="false">
      <c r="J21" s="10" t="n">
        <v>9</v>
      </c>
      <c r="K21" s="11" t="n">
        <f aca="false">SUMIFS(Data!$E:$E,Data!$A:$A,Assumptions!$B$3,Data!$B:$B,J21)*(Model!$F$25/Model!$C$13)</f>
        <v>987838.15922</v>
      </c>
      <c r="L21" s="11" t="n">
        <f aca="false">SUMIFS(Data!$E:$E,Data!$A:$A,Assumptions!$B$4,Data!$B:$B,J21)</f>
        <v>1030385.36</v>
      </c>
    </row>
    <row r="22" customFormat="false" ht="15" hidden="false" customHeight="false" outlineLevel="0" collapsed="false">
      <c r="J22" s="10" t="n">
        <v>10</v>
      </c>
      <c r="K22" s="11" t="n">
        <f aca="false">SUMIFS(Data!$E:$E,Data!$A:$A,Assumptions!$B$3,Data!$B:$B,J22)*(Model!$F$25/Model!$C$13)</f>
        <v>1244054.02011</v>
      </c>
      <c r="L22" s="11" t="n">
        <f aca="false">SUMIFS(Data!$E:$E,Data!$A:$A,Assumptions!$B$4,Data!$B:$B,J22)</f>
        <v>1106582.87</v>
      </c>
    </row>
    <row r="23" customFormat="false" ht="15" hidden="false" customHeight="false" outlineLevel="0" collapsed="false">
      <c r="J23" s="10" t="n">
        <v>11</v>
      </c>
      <c r="K23" s="11" t="n">
        <f aca="false">SUMIFS(Data!$E:$E,Data!$A:$A,Assumptions!$B$3,Data!$B:$B,J23)*(Model!$F$25/Model!$C$13)</f>
        <v>1626677.99987</v>
      </c>
      <c r="L23" s="11" t="n">
        <f aca="false">SUMIFS(Data!$E:$E,Data!$A:$A,Assumptions!$B$4,Data!$B:$B,J23)</f>
        <v>1457370.53</v>
      </c>
    </row>
  </sheetData>
  <mergeCells count="9"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6" min="6" style="1" width="14"/>
  </cols>
  <sheetData>
    <row r="1" customFormat="false" ht="18.55" hidden="false" customHeight="false" outlineLevel="0" collapsed="false">
      <c r="A1" s="12" t="s">
        <v>20</v>
      </c>
    </row>
    <row r="2" customFormat="false" ht="15" hidden="false" customHeight="false" outlineLevel="0" collapsed="false">
      <c r="A2" s="13" t="s">
        <v>21</v>
      </c>
    </row>
    <row r="3" customFormat="false" ht="15" hidden="false" customHeight="false" outlineLevel="0" collapsed="false">
      <c r="A3" s="14" t="s">
        <v>22</v>
      </c>
    </row>
    <row r="4" customFormat="false" ht="15" hidden="false" customHeight="false" outlineLevel="0" collapsed="false">
      <c r="A4" s="6" t="s">
        <v>23</v>
      </c>
      <c r="B4" s="6" t="s">
        <v>24</v>
      </c>
      <c r="C4" s="6" t="s">
        <v>25</v>
      </c>
      <c r="D4" s="6" t="s">
        <v>26</v>
      </c>
    </row>
    <row r="5" customFormat="false" ht="15" hidden="false" customHeight="false" outlineLevel="0" collapsed="false">
      <c r="A5" s="15" t="s">
        <v>27</v>
      </c>
      <c r="B5" s="16" t="n">
        <f aca="false">SUMIFS(Data!$D:$D,Data!$A:$A,Assumptions!$B$3,Data!$C:$C,$A5,Data!$B:$B,"&lt;="&amp;Assumptions!$B$5)</f>
        <v>736408</v>
      </c>
      <c r="C5" s="17" t="n">
        <f aca="false">SUMIFS(Data!$E:$E,Data!$A:$A,Assumptions!$B$3,Data!$C:$C,$A5,Data!$B:$B,"&lt;="&amp;Assumptions!$B$5)</f>
        <v>1416697.58</v>
      </c>
      <c r="D5" s="18" t="n">
        <f aca="false">C5/B5</f>
        <v>1.92379439115273</v>
      </c>
    </row>
    <row r="6" customFormat="false" ht="15" hidden="false" customHeight="false" outlineLevel="0" collapsed="false">
      <c r="A6" s="15" t="s">
        <v>28</v>
      </c>
      <c r="B6" s="16" t="n">
        <f aca="false">SUMIFS(Data!$D:$D,Data!$A:$A,Assumptions!$B$3,Data!$C:$C,$A6,Data!$B:$B,"&lt;="&amp;Assumptions!$B$5)</f>
        <v>864370</v>
      </c>
      <c r="C6" s="17" t="n">
        <f aca="false">SUMIFS(Data!$E:$E,Data!$A:$A,Assumptions!$B$3,Data!$C:$C,$A6,Data!$B:$B,"&lt;="&amp;Assumptions!$B$5)</f>
        <v>1334531.34</v>
      </c>
      <c r="D6" s="18" t="n">
        <f aca="false">C6/B6</f>
        <v>1.54393528234437</v>
      </c>
    </row>
    <row r="7" customFormat="false" ht="15" hidden="false" customHeight="false" outlineLevel="0" collapsed="false">
      <c r="A7" s="15" t="s">
        <v>29</v>
      </c>
      <c r="B7" s="16" t="n">
        <f aca="false">SUMIFS(Data!$D:$D,Data!$A:$A,Assumptions!$B$3,Data!$C:$C,$A7,Data!$B:$B,"&lt;="&amp;Assumptions!$B$5)</f>
        <v>387574</v>
      </c>
      <c r="C7" s="17" t="n">
        <f aca="false">SUMIFS(Data!$E:$E,Data!$A:$A,Assumptions!$B$3,Data!$C:$C,$A7,Data!$B:$B,"&lt;="&amp;Assumptions!$B$5)</f>
        <v>917799.12</v>
      </c>
      <c r="D7" s="18" t="n">
        <f aca="false">C7/B7</f>
        <v>2.36806163468138</v>
      </c>
    </row>
    <row r="8" customFormat="false" ht="15" hidden="false" customHeight="false" outlineLevel="0" collapsed="false">
      <c r="A8" s="15" t="s">
        <v>30</v>
      </c>
      <c r="B8" s="16" t="n">
        <f aca="false">SUMIFS(Data!$D:$D,Data!$A:$A,Assumptions!$B$3,Data!$C:$C,$A8,Data!$B:$B,"&lt;="&amp;Assumptions!$B$5)</f>
        <v>456394</v>
      </c>
      <c r="C8" s="17" t="n">
        <f aca="false">SUMIFS(Data!$E:$E,Data!$A:$A,Assumptions!$B$3,Data!$C:$C,$A8,Data!$B:$B,"&lt;="&amp;Assumptions!$B$5)</f>
        <v>753821.83</v>
      </c>
      <c r="D8" s="18" t="n">
        <f aca="false">C8/B8</f>
        <v>1.65169092932861</v>
      </c>
    </row>
    <row r="9" customFormat="false" ht="15" hidden="false" customHeight="false" outlineLevel="0" collapsed="false">
      <c r="A9" s="15" t="s">
        <v>31</v>
      </c>
      <c r="B9" s="16" t="n">
        <f aca="false">SUMIFS(Data!$D:$D,Data!$A:$A,Assumptions!$B$3,Data!$C:$C,$A9,Data!$B:$B,"&lt;="&amp;Assumptions!$B$5)</f>
        <v>446785</v>
      </c>
      <c r="C9" s="17" t="n">
        <f aca="false">SUMIFS(Data!$E:$E,Data!$A:$A,Assumptions!$B$3,Data!$C:$C,$A9,Data!$B:$B,"&lt;="&amp;Assumptions!$B$5)</f>
        <v>732027.9</v>
      </c>
      <c r="D9" s="18" t="n">
        <f aca="false">C9/B9</f>
        <v>1.63843436999899</v>
      </c>
    </row>
    <row r="10" customFormat="false" ht="15" hidden="false" customHeight="false" outlineLevel="0" collapsed="false">
      <c r="A10" s="15" t="s">
        <v>32</v>
      </c>
      <c r="B10" s="16" t="n">
        <f aca="false">SUMIFS(Data!$D:$D,Data!$A:$A,Assumptions!$B$3,Data!$C:$C,$A10,Data!$B:$B,"&lt;="&amp;Assumptions!$B$5)</f>
        <v>362235</v>
      </c>
      <c r="C10" s="17" t="n">
        <f aca="false">SUMIFS(Data!$E:$E,Data!$A:$A,Assumptions!$B$3,Data!$C:$C,$A10,Data!$B:$B,"&lt;="&amp;Assumptions!$B$5)</f>
        <v>674230.7</v>
      </c>
      <c r="D10" s="18" t="n">
        <f aca="false">C10/B10</f>
        <v>1.86130743854128</v>
      </c>
    </row>
    <row r="11" customFormat="false" ht="15" hidden="false" customHeight="false" outlineLevel="0" collapsed="false">
      <c r="A11" s="15" t="s">
        <v>33</v>
      </c>
      <c r="B11" s="16" t="n">
        <f aca="false">SUMIFS(Data!$D:$D,Data!$A:$A,Assumptions!$B$3,Data!$C:$C,$A11,Data!$B:$B,"&lt;="&amp;Assumptions!$B$5)</f>
        <v>547278</v>
      </c>
      <c r="C11" s="17" t="n">
        <f aca="false">SUMIFS(Data!$E:$E,Data!$A:$A,Assumptions!$B$3,Data!$C:$C,$A11,Data!$B:$B,"&lt;="&amp;Assumptions!$B$5)</f>
        <v>628915.98</v>
      </c>
      <c r="D11" s="18" t="n">
        <f aca="false">C11/B11</f>
        <v>1.14917095150911</v>
      </c>
    </row>
    <row r="12" customFormat="false" ht="15" hidden="false" customHeight="false" outlineLevel="0" collapsed="false">
      <c r="A12" s="15" t="s">
        <v>34</v>
      </c>
      <c r="B12" s="16" t="n">
        <f aca="false">SUMIFS(Data!$D:$D,Data!$A:$A,Assumptions!$B$3,Data!$C:$C,$A12,Data!$B:$B,"&lt;="&amp;Assumptions!$B$5)</f>
        <v>1417334</v>
      </c>
      <c r="C12" s="17" t="n">
        <f aca="false">SUMIFS(Data!$E:$E,Data!$A:$A,Assumptions!$B$3,Data!$C:$C,$A12,Data!$B:$B,"&lt;="&amp;Assumptions!$B$5)</f>
        <v>2180622.14</v>
      </c>
      <c r="D12" s="18" t="n">
        <f aca="false">C12/B12</f>
        <v>1.53853794518441</v>
      </c>
    </row>
    <row r="13" customFormat="false" ht="15" hidden="false" customHeight="false" outlineLevel="0" collapsed="false">
      <c r="A13" s="19" t="s">
        <v>13</v>
      </c>
      <c r="B13" s="20" t="n">
        <f aca="false">SUM(B5:B12)</f>
        <v>5218378</v>
      </c>
      <c r="C13" s="21" t="n">
        <f aca="false">SUM(C5:C12)</f>
        <v>8638646.59</v>
      </c>
      <c r="D13" s="22" t="n">
        <f aca="false">C13/B13</f>
        <v>1.65542752748076</v>
      </c>
    </row>
    <row r="15" customFormat="false" ht="15" hidden="false" customHeight="false" outlineLevel="0" collapsed="false">
      <c r="A15" s="14" t="s">
        <v>35</v>
      </c>
    </row>
    <row r="16" customFormat="false" ht="15" hidden="false" customHeight="false" outlineLevel="0" collapsed="false">
      <c r="A16" s="6" t="s">
        <v>23</v>
      </c>
      <c r="B16" s="6" t="s">
        <v>36</v>
      </c>
      <c r="C16" s="6" t="s">
        <v>37</v>
      </c>
      <c r="D16" s="6" t="s">
        <v>38</v>
      </c>
      <c r="E16" s="6" t="s">
        <v>39</v>
      </c>
      <c r="F16" s="6" t="s">
        <v>40</v>
      </c>
    </row>
    <row r="17" customFormat="false" ht="15" hidden="false" customHeight="false" outlineLevel="0" collapsed="false">
      <c r="A17" s="15" t="str">
        <f aca="false">A5</f>
        <v>Home &amp; Decor</v>
      </c>
      <c r="B17" s="23" t="n">
        <f aca="false">Assumptions!B9</f>
        <v>0.1</v>
      </c>
      <c r="C17" s="23" t="n">
        <f aca="false">Assumptions!C9</f>
        <v>0.03</v>
      </c>
      <c r="D17" s="24" t="n">
        <f aca="false">B5*(1+B17)</f>
        <v>810048.8</v>
      </c>
      <c r="E17" s="18" t="n">
        <f aca="false">D5*(1+C17)</f>
        <v>1.98150822288731</v>
      </c>
      <c r="F17" s="11" t="n">
        <f aca="false">D17*E17</f>
        <v>1605118.35814</v>
      </c>
    </row>
    <row r="18" customFormat="false" ht="15" hidden="false" customHeight="false" outlineLevel="0" collapsed="false">
      <c r="A18" s="15" t="str">
        <f aca="false">A6</f>
        <v>Kitchen &amp; Dining</v>
      </c>
      <c r="B18" s="23" t="n">
        <f aca="false">Assumptions!B10</f>
        <v>0.1</v>
      </c>
      <c r="C18" s="23" t="n">
        <f aca="false">Assumptions!C10</f>
        <v>0.03</v>
      </c>
      <c r="D18" s="24" t="n">
        <f aca="false">B6*(1+B18)</f>
        <v>950807</v>
      </c>
      <c r="E18" s="18" t="n">
        <f aca="false">D6*(1+C18)</f>
        <v>1.5902533408147</v>
      </c>
      <c r="F18" s="11" t="n">
        <f aca="false">D18*E18</f>
        <v>1512024.00822</v>
      </c>
    </row>
    <row r="19" customFormat="false" ht="15" hidden="false" customHeight="false" outlineLevel="0" collapsed="false">
      <c r="A19" s="15" t="str">
        <f aca="false">A7</f>
        <v>Storage</v>
      </c>
      <c r="B19" s="23" t="n">
        <f aca="false">Assumptions!B11</f>
        <v>0.1</v>
      </c>
      <c r="C19" s="23" t="n">
        <f aca="false">Assumptions!C11</f>
        <v>0.03</v>
      </c>
      <c r="D19" s="24" t="n">
        <f aca="false">B7*(1+B19)</f>
        <v>426331.4</v>
      </c>
      <c r="E19" s="18" t="n">
        <f aca="false">D7*(1+C19)</f>
        <v>2.43910348372182</v>
      </c>
      <c r="F19" s="11" t="n">
        <f aca="false">D19*E19</f>
        <v>1039866.40296</v>
      </c>
    </row>
    <row r="20" customFormat="false" ht="15" hidden="false" customHeight="false" outlineLevel="0" collapsed="false">
      <c r="A20" s="15" t="str">
        <f aca="false">A8</f>
        <v>Bags</v>
      </c>
      <c r="B20" s="23" t="n">
        <f aca="false">Assumptions!B12</f>
        <v>0.1</v>
      </c>
      <c r="C20" s="23" t="n">
        <f aca="false">Assumptions!C12</f>
        <v>0.03</v>
      </c>
      <c r="D20" s="24" t="n">
        <f aca="false">B8*(1+B20)</f>
        <v>502033.4</v>
      </c>
      <c r="E20" s="18" t="n">
        <f aca="false">D8*(1+C20)</f>
        <v>1.70124165720846</v>
      </c>
      <c r="F20" s="11" t="n">
        <f aca="false">D20*E20</f>
        <v>854080.13339</v>
      </c>
    </row>
    <row r="21" customFormat="false" ht="15" hidden="false" customHeight="false" outlineLevel="0" collapsed="false">
      <c r="A21" s="15" t="str">
        <f aca="false">A9</f>
        <v>Lighting</v>
      </c>
      <c r="B21" s="23" t="n">
        <f aca="false">Assumptions!B13</f>
        <v>0.1</v>
      </c>
      <c r="C21" s="23" t="n">
        <f aca="false">Assumptions!C13</f>
        <v>0.03</v>
      </c>
      <c r="D21" s="24" t="n">
        <f aca="false">B9*(1+B21)</f>
        <v>491463.5</v>
      </c>
      <c r="E21" s="18" t="n">
        <f aca="false">D9*(1+C21)</f>
        <v>1.68758740109896</v>
      </c>
      <c r="F21" s="11" t="n">
        <f aca="false">D21*E21</f>
        <v>829387.6107</v>
      </c>
    </row>
    <row r="22" customFormat="false" ht="15" hidden="false" customHeight="false" outlineLevel="0" collapsed="false">
      <c r="A22" s="15" t="str">
        <f aca="false">A10</f>
        <v>Party &amp; Seasonal</v>
      </c>
      <c r="B22" s="23" t="n">
        <f aca="false">Assumptions!B14</f>
        <v>0.1</v>
      </c>
      <c r="C22" s="23" t="n">
        <f aca="false">Assumptions!C14</f>
        <v>0.03</v>
      </c>
      <c r="D22" s="24" t="n">
        <f aca="false">B10*(1+B22)</f>
        <v>398458.5</v>
      </c>
      <c r="E22" s="18" t="n">
        <f aca="false">D10*(1+C22)</f>
        <v>1.91714666169752</v>
      </c>
      <c r="F22" s="11" t="n">
        <f aca="false">D22*E22</f>
        <v>763903.3831</v>
      </c>
    </row>
    <row r="23" customFormat="false" ht="15" hidden="false" customHeight="false" outlineLevel="0" collapsed="false">
      <c r="A23" s="15" t="str">
        <f aca="false">A11</f>
        <v>Stationery &amp; Craft</v>
      </c>
      <c r="B23" s="23" t="n">
        <f aca="false">Assumptions!B15</f>
        <v>0.1</v>
      </c>
      <c r="C23" s="23" t="n">
        <f aca="false">Assumptions!C15</f>
        <v>0.03</v>
      </c>
      <c r="D23" s="24" t="n">
        <f aca="false">B11*(1+B23)</f>
        <v>602005.8</v>
      </c>
      <c r="E23" s="18" t="n">
        <f aca="false">D11*(1+C23)</f>
        <v>1.18364608005438</v>
      </c>
      <c r="F23" s="11" t="n">
        <f aca="false">D23*E23</f>
        <v>712561.80534</v>
      </c>
    </row>
    <row r="24" customFormat="false" ht="15" hidden="false" customHeight="false" outlineLevel="0" collapsed="false">
      <c r="A24" s="15" t="str">
        <f aca="false">A12</f>
        <v>Other</v>
      </c>
      <c r="B24" s="23" t="n">
        <f aca="false">Assumptions!B16</f>
        <v>0.1</v>
      </c>
      <c r="C24" s="23" t="n">
        <f aca="false">Assumptions!C16</f>
        <v>0.03</v>
      </c>
      <c r="D24" s="24" t="n">
        <f aca="false">B12*(1+B24)</f>
        <v>1559067.4</v>
      </c>
      <c r="E24" s="18" t="n">
        <f aca="false">D12*(1+C24)</f>
        <v>1.58469408353994</v>
      </c>
      <c r="F24" s="11" t="n">
        <f aca="false">D24*E24</f>
        <v>2470644.88462</v>
      </c>
    </row>
    <row r="25" customFormat="false" ht="15" hidden="false" customHeight="false" outlineLevel="0" collapsed="false">
      <c r="A25" s="19" t="s">
        <v>13</v>
      </c>
      <c r="D25" s="20" t="n">
        <f aca="false">SUM(D17:D24)</f>
        <v>5740215.8</v>
      </c>
      <c r="F25" s="21" t="n">
        <f aca="false">SUM(F17:F24)</f>
        <v>9787586.58647</v>
      </c>
    </row>
    <row r="27" customFormat="false" ht="15" hidden="false" customHeight="false" outlineLevel="0" collapsed="false">
      <c r="A27" s="14" t="s">
        <v>41</v>
      </c>
    </row>
    <row r="28" customFormat="false" ht="15" hidden="false" customHeight="false" outlineLevel="0" collapsed="false">
      <c r="A28" s="6" t="s">
        <v>23</v>
      </c>
      <c r="B28" s="6" t="s">
        <v>42</v>
      </c>
      <c r="C28" s="6" t="s">
        <v>43</v>
      </c>
      <c r="D28" s="6" t="s">
        <v>44</v>
      </c>
      <c r="E28" s="6" t="s">
        <v>45</v>
      </c>
      <c r="F28" s="6" t="s">
        <v>46</v>
      </c>
    </row>
    <row r="29" customFormat="false" ht="15" hidden="false" customHeight="false" outlineLevel="0" collapsed="false">
      <c r="A29" s="15" t="str">
        <f aca="false">A5</f>
        <v>Home &amp; Decor</v>
      </c>
      <c r="B29" s="16" t="n">
        <f aca="false">SUMIFS(Data!$D:$D,Data!$A:$A,Assumptions!$B$4,Data!$C:$C,$A29,Data!$B:$B,"&lt;="&amp;Assumptions!$B$5)</f>
        <v>775719</v>
      </c>
      <c r="C29" s="17" t="n">
        <f aca="false">SUMIFS(Data!$E:$E,Data!$A:$A,Assumptions!$B$4,Data!$C:$C,$A29,Data!$B:$B,"&lt;="&amp;Assumptions!$B$5)</f>
        <v>1672112.57</v>
      </c>
      <c r="D29" s="18" t="n">
        <f aca="false">C29/B29</f>
        <v>2.15556479859331</v>
      </c>
      <c r="E29" s="11" t="n">
        <f aca="false">(B29-D17*($B$37/$D$25))*E17</f>
        <v>165522.848545934</v>
      </c>
      <c r="F29" s="11" t="n">
        <f aca="false">(D29-E17)*B29</f>
        <v>135018.992850077</v>
      </c>
    </row>
    <row r="30" customFormat="false" ht="15" hidden="false" customHeight="false" outlineLevel="0" collapsed="false">
      <c r="A30" s="15" t="str">
        <f aca="false">A6</f>
        <v>Kitchen &amp; Dining</v>
      </c>
      <c r="B30" s="16" t="n">
        <f aca="false">SUMIFS(Data!$D:$D,Data!$A:$A,Assumptions!$B$4,Data!$C:$C,$A30,Data!$B:$B,"&lt;="&amp;Assumptions!$B$5)</f>
        <v>682409</v>
      </c>
      <c r="C30" s="17" t="n">
        <f aca="false">SUMIFS(Data!$E:$E,Data!$A:$A,Assumptions!$B$4,Data!$C:$C,$A30,Data!$B:$B,"&lt;="&amp;Assumptions!$B$5)</f>
        <v>1347497.99</v>
      </c>
      <c r="D30" s="18" t="n">
        <f aca="false">C30/B30</f>
        <v>1.97461931187895</v>
      </c>
      <c r="E30" s="11" t="n">
        <f aca="false">(B30-D18*($B$37/$D$25))*E18</f>
        <v>-206818.583229521</v>
      </c>
      <c r="F30" s="11" t="n">
        <f aca="false">(D30-E18)*B30</f>
        <v>262294.797947983</v>
      </c>
    </row>
    <row r="31" customFormat="false" ht="15" hidden="false" customHeight="false" outlineLevel="0" collapsed="false">
      <c r="A31" s="15" t="str">
        <f aca="false">A7</f>
        <v>Storage</v>
      </c>
      <c r="B31" s="16" t="n">
        <f aca="false">SUMIFS(Data!$D:$D,Data!$A:$A,Assumptions!$B$4,Data!$C:$C,$A31,Data!$B:$B,"&lt;="&amp;Assumptions!$B$5)</f>
        <v>510279</v>
      </c>
      <c r="C31" s="17" t="n">
        <f aca="false">SUMIFS(Data!$E:$E,Data!$A:$A,Assumptions!$B$4,Data!$C:$C,$A31,Data!$B:$B,"&lt;="&amp;Assumptions!$B$5)</f>
        <v>1112428.54</v>
      </c>
      <c r="D31" s="18" t="n">
        <f aca="false">C31/B31</f>
        <v>2.18003982135263</v>
      </c>
      <c r="E31" s="11" t="n">
        <f aca="false">(B31-D19*($B$37/$D$25))*E19</f>
        <v>356059.329447705</v>
      </c>
      <c r="F31" s="11" t="n">
        <f aca="false">(D31-E19)*B31</f>
        <v>-132194.746570085</v>
      </c>
    </row>
    <row r="32" customFormat="false" ht="15" hidden="false" customHeight="false" outlineLevel="0" collapsed="false">
      <c r="A32" s="15" t="str">
        <f aca="false">A8</f>
        <v>Bags</v>
      </c>
      <c r="B32" s="16" t="n">
        <f aca="false">SUMIFS(Data!$D:$D,Data!$A:$A,Assumptions!$B$4,Data!$C:$C,$A32,Data!$B:$B,"&lt;="&amp;Assumptions!$B$5)</f>
        <v>526413</v>
      </c>
      <c r="C32" s="17" t="n">
        <f aca="false">SUMIFS(Data!$E:$E,Data!$A:$A,Assumptions!$B$4,Data!$C:$C,$A32,Data!$B:$B,"&lt;="&amp;Assumptions!$B$5)</f>
        <v>950584.14</v>
      </c>
      <c r="D32" s="18" t="n">
        <f aca="false">C32/B32</f>
        <v>1.80577633911017</v>
      </c>
      <c r="E32" s="11" t="n">
        <f aca="false">(B32-D20*($B$37/$D$25))*E20</f>
        <v>165745.798082079</v>
      </c>
      <c r="F32" s="11" t="n">
        <f aca="false">(D32-E20)*B32</f>
        <v>55028.4155039206</v>
      </c>
    </row>
    <row r="33" customFormat="false" ht="15" hidden="false" customHeight="false" outlineLevel="0" collapsed="false">
      <c r="A33" s="15" t="str">
        <f aca="false">A9</f>
        <v>Lighting</v>
      </c>
      <c r="B33" s="16" t="n">
        <f aca="false">SUMIFS(Data!$D:$D,Data!$A:$A,Assumptions!$B$4,Data!$C:$C,$A33,Data!$B:$B,"&lt;="&amp;Assumptions!$B$5)</f>
        <v>372330</v>
      </c>
      <c r="C33" s="17" t="n">
        <f aca="false">SUMIFS(Data!$E:$E,Data!$A:$A,Assumptions!$B$4,Data!$C:$C,$A33,Data!$B:$B,"&lt;="&amp;Assumptions!$B$5)</f>
        <v>670165.31</v>
      </c>
      <c r="D33" s="18" t="n">
        <f aca="false">C33/B33</f>
        <v>1.79992294469959</v>
      </c>
      <c r="E33" s="11" t="n">
        <f aca="false">(B33-D21*($B$37/$D$25))*E21</f>
        <v>-80370.7934663342</v>
      </c>
      <c r="F33" s="11" t="n">
        <f aca="false">(D33-E21)*B33</f>
        <v>41825.8929488231</v>
      </c>
    </row>
    <row r="34" customFormat="false" ht="15" hidden="false" customHeight="false" outlineLevel="0" collapsed="false">
      <c r="A34" s="15" t="str">
        <f aca="false">A10</f>
        <v>Party &amp; Seasonal</v>
      </c>
      <c r="B34" s="16" t="n">
        <f aca="false">SUMIFS(Data!$D:$D,Data!$A:$A,Assumptions!$B$4,Data!$C:$C,$A34,Data!$B:$B,"&lt;="&amp;Assumptions!$B$5)</f>
        <v>391497</v>
      </c>
      <c r="C34" s="17" t="n">
        <f aca="false">SUMIFS(Data!$E:$E,Data!$A:$A,Assumptions!$B$4,Data!$C:$C,$A34,Data!$B:$B,"&lt;="&amp;Assumptions!$B$5)</f>
        <v>760151.32</v>
      </c>
      <c r="D34" s="18" t="n">
        <f aca="false">C34/B34</f>
        <v>1.94165298840093</v>
      </c>
      <c r="E34" s="11" t="n">
        <f aca="false">(B34-D22*($B$37/$D$25))*E22</f>
        <v>97803.1099258125</v>
      </c>
      <c r="F34" s="11" t="n">
        <f aca="false">(D34-E22)*B34</f>
        <v>9594.15338540726</v>
      </c>
    </row>
    <row r="35" customFormat="false" ht="15" hidden="false" customHeight="false" outlineLevel="0" collapsed="false">
      <c r="A35" s="15" t="str">
        <f aca="false">A11</f>
        <v>Stationery &amp; Craft</v>
      </c>
      <c r="B35" s="16" t="n">
        <f aca="false">SUMIFS(Data!$D:$D,Data!$A:$A,Assumptions!$B$4,Data!$C:$C,$A35,Data!$B:$B,"&lt;="&amp;Assumptions!$B$5)</f>
        <v>522520</v>
      </c>
      <c r="C35" s="17" t="n">
        <f aca="false">SUMIFS(Data!$E:$E,Data!$A:$A,Assumptions!$B$4,Data!$C:$C,$A35,Data!$B:$B,"&lt;="&amp;Assumptions!$B$5)</f>
        <v>565313.7</v>
      </c>
      <c r="D35" s="18" t="n">
        <f aca="false">C35/B35</f>
        <v>1.08189868330399</v>
      </c>
      <c r="E35" s="11" t="n">
        <f aca="false">(B35-D23*($B$37/$D$25))*E23</f>
        <v>9595.97822774425</v>
      </c>
      <c r="F35" s="11" t="n">
        <f aca="false">(D35-E23)*B35</f>
        <v>-53165.0497500137</v>
      </c>
    </row>
    <row r="36" customFormat="false" ht="15" hidden="false" customHeight="false" outlineLevel="0" collapsed="false">
      <c r="A36" s="15" t="str">
        <f aca="false">A12</f>
        <v>Other</v>
      </c>
      <c r="B36" s="16" t="n">
        <f aca="false">SUMIFS(Data!$D:$D,Data!$A:$A,Assumptions!$B$4,Data!$C:$C,$A36,Data!$B:$B,"&lt;="&amp;Assumptions!$B$5)</f>
        <v>1123837</v>
      </c>
      <c r="C36" s="17" t="n">
        <f aca="false">SUMIFS(Data!$E:$E,Data!$A:$A,Assumptions!$B$4,Data!$C:$C,$A36,Data!$B:$B,"&lt;="&amp;Assumptions!$B$5)</f>
        <v>1809746.23</v>
      </c>
      <c r="D36" s="18" t="n">
        <f aca="false">C36/B36</f>
        <v>1.61032803689503</v>
      </c>
      <c r="E36" s="11" t="n">
        <f aca="false">(B36-D24*($B$37/$D$25))*E24</f>
        <v>-330223.732409594</v>
      </c>
      <c r="F36" s="11" t="n">
        <f aca="false">(D36-E24)*B36</f>
        <v>28808.3852367223</v>
      </c>
    </row>
    <row r="37" customFormat="false" ht="15" hidden="false" customHeight="false" outlineLevel="0" collapsed="false">
      <c r="A37" s="19" t="s">
        <v>13</v>
      </c>
      <c r="B37" s="20" t="n">
        <f aca="false">SUM(B29:B36)</f>
        <v>4905004</v>
      </c>
      <c r="C37" s="21" t="n">
        <f aca="false">SUM(C29:C36)</f>
        <v>8887999.8</v>
      </c>
      <c r="E37" s="21" t="n">
        <f aca="false">SUM(E29:E36)</f>
        <v>177313.955123826</v>
      </c>
      <c r="F37" s="21" t="n">
        <f aca="false">SUM(F29:F36)</f>
        <v>347210.841552834</v>
      </c>
    </row>
    <row r="39" customFormat="false" ht="15" hidden="false" customHeight="false" outlineLevel="0" collapsed="false">
      <c r="A39" s="14" t="s">
        <v>47</v>
      </c>
    </row>
    <row r="40" customFormat="false" ht="15" hidden="false" customHeight="false" outlineLevel="0" collapsed="false">
      <c r="A40" s="19" t="s">
        <v>3</v>
      </c>
      <c r="B40" s="25" t="n">
        <f aca="false">F25</f>
        <v>9787586.58647</v>
      </c>
    </row>
    <row r="41" customFormat="false" ht="15" hidden="false" customHeight="false" outlineLevel="0" collapsed="false">
      <c r="A41" s="10" t="s">
        <v>48</v>
      </c>
      <c r="B41" s="11" t="n">
        <f aca="false">(B37-D25)*(F25/D25)</f>
        <v>-1424111.58314666</v>
      </c>
    </row>
    <row r="42" customFormat="false" ht="15" hidden="false" customHeight="false" outlineLevel="0" collapsed="false">
      <c r="A42" s="10" t="s">
        <v>45</v>
      </c>
      <c r="B42" s="11" t="n">
        <f aca="false">E37</f>
        <v>177313.955123826</v>
      </c>
    </row>
    <row r="43" customFormat="false" ht="15" hidden="false" customHeight="false" outlineLevel="0" collapsed="false">
      <c r="A43" s="10" t="s">
        <v>46</v>
      </c>
      <c r="B43" s="11" t="n">
        <f aca="false">F37</f>
        <v>347210.841552834</v>
      </c>
    </row>
    <row r="44" customFormat="false" ht="15" hidden="false" customHeight="false" outlineLevel="0" collapsed="false">
      <c r="A44" s="19" t="s">
        <v>4</v>
      </c>
      <c r="B44" s="25" t="n">
        <f aca="false">C37</f>
        <v>8887999.8</v>
      </c>
    </row>
    <row r="45" customFormat="false" ht="15" hidden="false" customHeight="false" outlineLevel="0" collapsed="false">
      <c r="A45" s="19" t="s">
        <v>5</v>
      </c>
      <c r="B45" s="25" t="n">
        <f aca="false">C37-F25</f>
        <v>-899586.78647</v>
      </c>
    </row>
    <row r="46" customFormat="false" ht="15" hidden="false" customHeight="false" outlineLevel="0" collapsed="false">
      <c r="A46" s="10" t="s">
        <v>49</v>
      </c>
      <c r="B46" s="26" t="n">
        <f aca="false">(C37-F25)-(B41+B42+B43)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6"/>
  </cols>
  <sheetData>
    <row r="1" customFormat="false" ht="18.55" hidden="false" customHeight="false" outlineLevel="0" collapsed="false">
      <c r="A1" s="12" t="s">
        <v>50</v>
      </c>
    </row>
    <row r="3" customFormat="false" ht="15" hidden="false" customHeight="false" outlineLevel="0" collapsed="false">
      <c r="A3" s="19" t="s">
        <v>51</v>
      </c>
      <c r="B3" s="27" t="n">
        <v>2010</v>
      </c>
    </row>
    <row r="4" customFormat="false" ht="15" hidden="false" customHeight="false" outlineLevel="0" collapsed="false">
      <c r="A4" s="19" t="s">
        <v>52</v>
      </c>
      <c r="B4" s="27" t="n">
        <v>2011</v>
      </c>
    </row>
    <row r="5" customFormat="false" ht="15" hidden="false" customHeight="false" outlineLevel="0" collapsed="false">
      <c r="A5" s="19" t="s">
        <v>53</v>
      </c>
      <c r="B5" s="27" t="n">
        <v>11</v>
      </c>
      <c r="C5" s="13" t="s">
        <v>54</v>
      </c>
    </row>
    <row r="6" customFormat="false" ht="15" hidden="false" customHeight="false" outlineLevel="0" collapsed="false">
      <c r="A6" s="13" t="s">
        <v>55</v>
      </c>
    </row>
    <row r="7" customFormat="false" ht="15" hidden="false" customHeight="false" outlineLevel="0" collapsed="false">
      <c r="A7" s="13" t="s">
        <v>56</v>
      </c>
    </row>
    <row r="8" customFormat="false" ht="15" hidden="false" customHeight="false" outlineLevel="0" collapsed="false">
      <c r="A8" s="6" t="s">
        <v>57</v>
      </c>
      <c r="B8" s="6" t="s">
        <v>58</v>
      </c>
      <c r="C8" s="6" t="s">
        <v>59</v>
      </c>
    </row>
    <row r="9" customFormat="false" ht="15" hidden="false" customHeight="false" outlineLevel="0" collapsed="false">
      <c r="A9" s="15" t="s">
        <v>27</v>
      </c>
      <c r="B9" s="28" t="n">
        <v>0.1</v>
      </c>
      <c r="C9" s="28" t="n">
        <v>0.03</v>
      </c>
    </row>
    <row r="10" customFormat="false" ht="15" hidden="false" customHeight="false" outlineLevel="0" collapsed="false">
      <c r="A10" s="15" t="s">
        <v>28</v>
      </c>
      <c r="B10" s="28" t="n">
        <v>0.1</v>
      </c>
      <c r="C10" s="28" t="n">
        <v>0.03</v>
      </c>
    </row>
    <row r="11" customFormat="false" ht="15" hidden="false" customHeight="false" outlineLevel="0" collapsed="false">
      <c r="A11" s="15" t="s">
        <v>29</v>
      </c>
      <c r="B11" s="28" t="n">
        <v>0.1</v>
      </c>
      <c r="C11" s="28" t="n">
        <v>0.03</v>
      </c>
    </row>
    <row r="12" customFormat="false" ht="15" hidden="false" customHeight="false" outlineLevel="0" collapsed="false">
      <c r="A12" s="15" t="s">
        <v>30</v>
      </c>
      <c r="B12" s="28" t="n">
        <v>0.1</v>
      </c>
      <c r="C12" s="28" t="n">
        <v>0.03</v>
      </c>
    </row>
    <row r="13" customFormat="false" ht="15" hidden="false" customHeight="false" outlineLevel="0" collapsed="false">
      <c r="A13" s="15" t="s">
        <v>31</v>
      </c>
      <c r="B13" s="28" t="n">
        <v>0.1</v>
      </c>
      <c r="C13" s="28" t="n">
        <v>0.03</v>
      </c>
    </row>
    <row r="14" customFormat="false" ht="15" hidden="false" customHeight="false" outlineLevel="0" collapsed="false">
      <c r="A14" s="15" t="s">
        <v>32</v>
      </c>
      <c r="B14" s="28" t="n">
        <v>0.1</v>
      </c>
      <c r="C14" s="28" t="n">
        <v>0.03</v>
      </c>
    </row>
    <row r="15" customFormat="false" ht="15" hidden="false" customHeight="false" outlineLevel="0" collapsed="false">
      <c r="A15" s="15" t="s">
        <v>33</v>
      </c>
      <c r="B15" s="28" t="n">
        <v>0.1</v>
      </c>
      <c r="C15" s="28" t="n">
        <v>0.03</v>
      </c>
    </row>
    <row r="16" customFormat="false" ht="15" hidden="false" customHeight="false" outlineLevel="0" collapsed="false">
      <c r="A16" s="15" t="s">
        <v>34</v>
      </c>
      <c r="B16" s="28" t="n">
        <v>0.1</v>
      </c>
      <c r="C16" s="28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2"/>
  </cols>
  <sheetData>
    <row r="1" customFormat="false" ht="18.55" hidden="false" customHeight="false" outlineLevel="0" collapsed="false">
      <c r="A1" s="12" t="s">
        <v>60</v>
      </c>
    </row>
    <row r="2" customFormat="false" ht="15" hidden="false" customHeight="false" outlineLevel="0" collapsed="false">
      <c r="A2" s="13" t="s">
        <v>61</v>
      </c>
    </row>
    <row r="4" customFormat="false" ht="15" hidden="false" customHeight="false" outlineLevel="0" collapsed="false">
      <c r="A4" s="6" t="s">
        <v>62</v>
      </c>
      <c r="B4" s="6" t="s">
        <v>63</v>
      </c>
      <c r="C4" s="6" t="s">
        <v>64</v>
      </c>
      <c r="D4" s="6" t="s">
        <v>65</v>
      </c>
      <c r="E4" s="6" t="s">
        <v>66</v>
      </c>
      <c r="F4" s="6" t="s">
        <v>67</v>
      </c>
    </row>
    <row r="5" customFormat="false" ht="15" hidden="false" customHeight="false" outlineLevel="0" collapsed="false">
      <c r="A5" s="10" t="n">
        <v>2009</v>
      </c>
      <c r="B5" s="10" t="n">
        <v>12</v>
      </c>
      <c r="C5" s="10" t="s">
        <v>30</v>
      </c>
      <c r="D5" s="24" t="n">
        <v>33988</v>
      </c>
      <c r="E5" s="11" t="n">
        <v>47869.25</v>
      </c>
      <c r="F5" s="18" t="n">
        <v>1.4084</v>
      </c>
    </row>
    <row r="6" customFormat="false" ht="15" hidden="false" customHeight="false" outlineLevel="0" collapsed="false">
      <c r="A6" s="10" t="n">
        <v>2009</v>
      </c>
      <c r="B6" s="10" t="n">
        <v>12</v>
      </c>
      <c r="C6" s="10" t="s">
        <v>27</v>
      </c>
      <c r="D6" s="24" t="n">
        <v>67453</v>
      </c>
      <c r="E6" s="11" t="n">
        <v>112837.15</v>
      </c>
      <c r="F6" s="18" t="n">
        <v>1.6728</v>
      </c>
    </row>
    <row r="7" customFormat="false" ht="15" hidden="false" customHeight="false" outlineLevel="0" collapsed="false">
      <c r="A7" s="10" t="n">
        <v>2009</v>
      </c>
      <c r="B7" s="10" t="n">
        <v>12</v>
      </c>
      <c r="C7" s="10" t="s">
        <v>28</v>
      </c>
      <c r="D7" s="24" t="n">
        <v>59147</v>
      </c>
      <c r="E7" s="11" t="n">
        <v>149098.59</v>
      </c>
      <c r="F7" s="18" t="n">
        <v>2.5208</v>
      </c>
    </row>
    <row r="8" customFormat="false" ht="15" hidden="false" customHeight="false" outlineLevel="0" collapsed="false">
      <c r="A8" s="10" t="n">
        <v>2009</v>
      </c>
      <c r="B8" s="10" t="n">
        <v>12</v>
      </c>
      <c r="C8" s="10" t="s">
        <v>31</v>
      </c>
      <c r="D8" s="24" t="n">
        <v>53210</v>
      </c>
      <c r="E8" s="11" t="n">
        <v>109538.12</v>
      </c>
      <c r="F8" s="18" t="n">
        <v>2.0586</v>
      </c>
    </row>
    <row r="9" customFormat="false" ht="15" hidden="false" customHeight="false" outlineLevel="0" collapsed="false">
      <c r="A9" s="10" t="n">
        <v>2009</v>
      </c>
      <c r="B9" s="10" t="n">
        <v>12</v>
      </c>
      <c r="C9" s="10" t="s">
        <v>34</v>
      </c>
      <c r="D9" s="24" t="n">
        <v>132002</v>
      </c>
      <c r="E9" s="11" t="n">
        <v>227869.43</v>
      </c>
      <c r="F9" s="18" t="n">
        <v>1.7263</v>
      </c>
    </row>
    <row r="10" customFormat="false" ht="15" hidden="false" customHeight="false" outlineLevel="0" collapsed="false">
      <c r="A10" s="10" t="n">
        <v>2009</v>
      </c>
      <c r="B10" s="10" t="n">
        <v>12</v>
      </c>
      <c r="C10" s="10" t="s">
        <v>32</v>
      </c>
      <c r="D10" s="24" t="n">
        <v>22676</v>
      </c>
      <c r="E10" s="11" t="n">
        <v>39157.86</v>
      </c>
      <c r="F10" s="18" t="n">
        <v>1.7268</v>
      </c>
    </row>
    <row r="11" customFormat="false" ht="15" hidden="false" customHeight="false" outlineLevel="0" collapsed="false">
      <c r="A11" s="10" t="n">
        <v>2009</v>
      </c>
      <c r="B11" s="10" t="n">
        <v>12</v>
      </c>
      <c r="C11" s="10" t="s">
        <v>33</v>
      </c>
      <c r="D11" s="24" t="n">
        <v>30157</v>
      </c>
      <c r="E11" s="11" t="n">
        <v>38605.1</v>
      </c>
      <c r="F11" s="18" t="n">
        <v>1.2801</v>
      </c>
    </row>
    <row r="12" customFormat="false" ht="15" hidden="false" customHeight="false" outlineLevel="0" collapsed="false">
      <c r="A12" s="10" t="n">
        <v>2009</v>
      </c>
      <c r="B12" s="10" t="n">
        <v>12</v>
      </c>
      <c r="C12" s="10" t="s">
        <v>29</v>
      </c>
      <c r="D12" s="24" t="n">
        <v>28132</v>
      </c>
      <c r="E12" s="11" t="n">
        <v>76255.97</v>
      </c>
      <c r="F12" s="18" t="n">
        <v>2.7106</v>
      </c>
    </row>
    <row r="13" customFormat="false" ht="15" hidden="false" customHeight="false" outlineLevel="0" collapsed="false">
      <c r="A13" s="10" t="n">
        <v>2010</v>
      </c>
      <c r="B13" s="10" t="n">
        <v>1</v>
      </c>
      <c r="C13" s="10" t="s">
        <v>30</v>
      </c>
      <c r="D13" s="24" t="n">
        <v>31718</v>
      </c>
      <c r="E13" s="11" t="n">
        <v>52465.94</v>
      </c>
      <c r="F13" s="18" t="n">
        <v>1.6541</v>
      </c>
    </row>
    <row r="14" customFormat="false" ht="15" hidden="false" customHeight="false" outlineLevel="0" collapsed="false">
      <c r="A14" s="10" t="n">
        <v>2010</v>
      </c>
      <c r="B14" s="10" t="n">
        <v>1</v>
      </c>
      <c r="C14" s="10" t="s">
        <v>27</v>
      </c>
      <c r="D14" s="24" t="n">
        <v>74318</v>
      </c>
      <c r="E14" s="11" t="n">
        <v>101988.95</v>
      </c>
      <c r="F14" s="18" t="n">
        <v>1.3723</v>
      </c>
    </row>
    <row r="15" customFormat="false" ht="15" hidden="false" customHeight="false" outlineLevel="0" collapsed="false">
      <c r="A15" s="10" t="n">
        <v>2010</v>
      </c>
      <c r="B15" s="10" t="n">
        <v>1</v>
      </c>
      <c r="C15" s="10" t="s">
        <v>28</v>
      </c>
      <c r="D15" s="24" t="n">
        <v>57157</v>
      </c>
      <c r="E15" s="11" t="n">
        <v>97090.77</v>
      </c>
      <c r="F15" s="18" t="n">
        <v>1.6987</v>
      </c>
    </row>
    <row r="16" customFormat="false" ht="15" hidden="false" customHeight="false" outlineLevel="0" collapsed="false">
      <c r="A16" s="10" t="n">
        <v>2010</v>
      </c>
      <c r="B16" s="10" t="n">
        <v>1</v>
      </c>
      <c r="C16" s="10" t="s">
        <v>31</v>
      </c>
      <c r="D16" s="24" t="n">
        <v>39088</v>
      </c>
      <c r="E16" s="11" t="n">
        <v>69786.57</v>
      </c>
      <c r="F16" s="18" t="n">
        <v>1.7854</v>
      </c>
    </row>
    <row r="17" customFormat="false" ht="15" hidden="false" customHeight="false" outlineLevel="0" collapsed="false">
      <c r="A17" s="10" t="n">
        <v>2010</v>
      </c>
      <c r="B17" s="10" t="n">
        <v>1</v>
      </c>
      <c r="C17" s="10" t="s">
        <v>34</v>
      </c>
      <c r="D17" s="24" t="n">
        <v>121657</v>
      </c>
      <c r="E17" s="11" t="n">
        <v>196027.11</v>
      </c>
      <c r="F17" s="18" t="n">
        <v>1.6113</v>
      </c>
    </row>
    <row r="18" customFormat="false" ht="15" hidden="false" customHeight="false" outlineLevel="0" collapsed="false">
      <c r="A18" s="10" t="n">
        <v>2010</v>
      </c>
      <c r="B18" s="10" t="n">
        <v>1</v>
      </c>
      <c r="C18" s="10" t="s">
        <v>32</v>
      </c>
      <c r="D18" s="24" t="n">
        <v>11378</v>
      </c>
      <c r="E18" s="11" t="n">
        <v>20799.57</v>
      </c>
      <c r="F18" s="18" t="n">
        <v>1.8281</v>
      </c>
    </row>
    <row r="19" customFormat="false" ht="15" hidden="false" customHeight="false" outlineLevel="0" collapsed="false">
      <c r="A19" s="10" t="n">
        <v>2010</v>
      </c>
      <c r="B19" s="10" t="n">
        <v>1</v>
      </c>
      <c r="C19" s="10" t="s">
        <v>33</v>
      </c>
      <c r="D19" s="24" t="n">
        <v>33503</v>
      </c>
      <c r="E19" s="11" t="n">
        <v>25503.27</v>
      </c>
      <c r="F19" s="18" t="n">
        <v>0.7612</v>
      </c>
    </row>
    <row r="20" customFormat="false" ht="15" hidden="false" customHeight="false" outlineLevel="0" collapsed="false">
      <c r="A20" s="10" t="n">
        <v>2010</v>
      </c>
      <c r="B20" s="10" t="n">
        <v>1</v>
      </c>
      <c r="C20" s="10" t="s">
        <v>29</v>
      </c>
      <c r="D20" s="24" t="n">
        <v>22504</v>
      </c>
      <c r="E20" s="11" t="n">
        <v>59176.56</v>
      </c>
      <c r="F20" s="18" t="n">
        <v>2.6296</v>
      </c>
    </row>
    <row r="21" customFormat="false" ht="15" hidden="false" customHeight="false" outlineLevel="0" collapsed="false">
      <c r="A21" s="10" t="n">
        <v>2010</v>
      </c>
      <c r="B21" s="10" t="n">
        <v>2</v>
      </c>
      <c r="C21" s="10" t="s">
        <v>30</v>
      </c>
      <c r="D21" s="24" t="n">
        <v>40370</v>
      </c>
      <c r="E21" s="11" t="n">
        <v>54018.41</v>
      </c>
      <c r="F21" s="18" t="n">
        <v>1.3381</v>
      </c>
    </row>
    <row r="22" customFormat="false" ht="15" hidden="false" customHeight="false" outlineLevel="0" collapsed="false">
      <c r="A22" s="10" t="n">
        <v>2010</v>
      </c>
      <c r="B22" s="10" t="n">
        <v>2</v>
      </c>
      <c r="C22" s="10" t="s">
        <v>27</v>
      </c>
      <c r="D22" s="24" t="n">
        <v>48033</v>
      </c>
      <c r="E22" s="11" t="n">
        <v>82929.7</v>
      </c>
      <c r="F22" s="18" t="n">
        <v>1.7265</v>
      </c>
    </row>
    <row r="23" customFormat="false" ht="15" hidden="false" customHeight="false" outlineLevel="0" collapsed="false">
      <c r="A23" s="10" t="n">
        <v>2010</v>
      </c>
      <c r="B23" s="10" t="n">
        <v>2</v>
      </c>
      <c r="C23" s="10" t="s">
        <v>28</v>
      </c>
      <c r="D23" s="24" t="n">
        <v>83542</v>
      </c>
      <c r="E23" s="11" t="n">
        <v>88825.4</v>
      </c>
      <c r="F23" s="18" t="n">
        <v>1.0632</v>
      </c>
    </row>
    <row r="24" customFormat="false" ht="15" hidden="false" customHeight="false" outlineLevel="0" collapsed="false">
      <c r="A24" s="10" t="n">
        <v>2010</v>
      </c>
      <c r="B24" s="10" t="n">
        <v>2</v>
      </c>
      <c r="C24" s="10" t="s">
        <v>31</v>
      </c>
      <c r="D24" s="24" t="n">
        <v>25415</v>
      </c>
      <c r="E24" s="11" t="n">
        <v>43630.02</v>
      </c>
      <c r="F24" s="18" t="n">
        <v>1.7167</v>
      </c>
    </row>
    <row r="25" customFormat="false" ht="15" hidden="false" customHeight="false" outlineLevel="0" collapsed="false">
      <c r="A25" s="10" t="n">
        <v>2010</v>
      </c>
      <c r="B25" s="10" t="n">
        <v>2</v>
      </c>
      <c r="C25" s="10" t="s">
        <v>34</v>
      </c>
      <c r="D25" s="24" t="n">
        <v>107423</v>
      </c>
      <c r="E25" s="11" t="n">
        <v>161531.18</v>
      </c>
      <c r="F25" s="18" t="n">
        <v>1.5037</v>
      </c>
    </row>
    <row r="26" customFormat="false" ht="15" hidden="false" customHeight="false" outlineLevel="0" collapsed="false">
      <c r="A26" s="10" t="n">
        <v>2010</v>
      </c>
      <c r="B26" s="10" t="n">
        <v>2</v>
      </c>
      <c r="C26" s="10" t="s">
        <v>32</v>
      </c>
      <c r="D26" s="24" t="n">
        <v>9801</v>
      </c>
      <c r="E26" s="11" t="n">
        <v>21665.74</v>
      </c>
      <c r="F26" s="18" t="n">
        <v>2.2106</v>
      </c>
    </row>
    <row r="27" customFormat="false" ht="15" hidden="false" customHeight="false" outlineLevel="0" collapsed="false">
      <c r="A27" s="10" t="n">
        <v>2010</v>
      </c>
      <c r="B27" s="10" t="n">
        <v>2</v>
      </c>
      <c r="C27" s="10" t="s">
        <v>33</v>
      </c>
      <c r="D27" s="24" t="n">
        <v>47209</v>
      </c>
      <c r="E27" s="11" t="n">
        <v>33666.71</v>
      </c>
      <c r="F27" s="18" t="n">
        <v>0.7131</v>
      </c>
    </row>
    <row r="28" customFormat="false" ht="15" hidden="false" customHeight="false" outlineLevel="0" collapsed="false">
      <c r="A28" s="10" t="n">
        <v>2010</v>
      </c>
      <c r="B28" s="10" t="n">
        <v>2</v>
      </c>
      <c r="C28" s="10" t="s">
        <v>29</v>
      </c>
      <c r="D28" s="24" t="n">
        <v>20736</v>
      </c>
      <c r="E28" s="11" t="n">
        <v>53492.53</v>
      </c>
      <c r="F28" s="18" t="n">
        <v>2.5797</v>
      </c>
    </row>
    <row r="29" customFormat="false" ht="15" hidden="false" customHeight="false" outlineLevel="0" collapsed="false">
      <c r="A29" s="10" t="n">
        <v>2010</v>
      </c>
      <c r="B29" s="10" t="n">
        <v>3</v>
      </c>
      <c r="C29" s="10" t="s">
        <v>30</v>
      </c>
      <c r="D29" s="24" t="n">
        <v>34774</v>
      </c>
      <c r="E29" s="11" t="n">
        <v>61898.31</v>
      </c>
      <c r="F29" s="18" t="n">
        <v>1.78</v>
      </c>
    </row>
    <row r="30" customFormat="false" ht="15" hidden="false" customHeight="false" outlineLevel="0" collapsed="false">
      <c r="A30" s="10" t="n">
        <v>2010</v>
      </c>
      <c r="B30" s="10" t="n">
        <v>3</v>
      </c>
      <c r="C30" s="10" t="s">
        <v>27</v>
      </c>
      <c r="D30" s="24" t="n">
        <v>66519</v>
      </c>
      <c r="E30" s="11" t="n">
        <v>123919.26</v>
      </c>
      <c r="F30" s="18" t="n">
        <v>1.8629</v>
      </c>
    </row>
    <row r="31" customFormat="false" ht="15" hidden="false" customHeight="false" outlineLevel="0" collapsed="false">
      <c r="A31" s="10" t="n">
        <v>2010</v>
      </c>
      <c r="B31" s="10" t="n">
        <v>3</v>
      </c>
      <c r="C31" s="10" t="s">
        <v>28</v>
      </c>
      <c r="D31" s="24" t="n">
        <v>119182</v>
      </c>
      <c r="E31" s="11" t="n">
        <v>109670.12</v>
      </c>
      <c r="F31" s="18" t="n">
        <v>0.9202</v>
      </c>
    </row>
    <row r="32" customFormat="false" ht="15" hidden="false" customHeight="false" outlineLevel="0" collapsed="false">
      <c r="A32" s="10" t="n">
        <v>2010</v>
      </c>
      <c r="B32" s="10" t="n">
        <v>3</v>
      </c>
      <c r="C32" s="10" t="s">
        <v>31</v>
      </c>
      <c r="D32" s="24" t="n">
        <v>42524</v>
      </c>
      <c r="E32" s="11" t="n">
        <v>73870.25</v>
      </c>
      <c r="F32" s="18" t="n">
        <v>1.7371</v>
      </c>
    </row>
    <row r="33" customFormat="false" ht="15" hidden="false" customHeight="false" outlineLevel="0" collapsed="false">
      <c r="A33" s="10" t="n">
        <v>2010</v>
      </c>
      <c r="B33" s="10" t="n">
        <v>3</v>
      </c>
      <c r="C33" s="10" t="s">
        <v>34</v>
      </c>
      <c r="D33" s="24" t="n">
        <v>173323</v>
      </c>
      <c r="E33" s="11" t="n">
        <v>226082.82</v>
      </c>
      <c r="F33" s="18" t="n">
        <v>1.3044</v>
      </c>
    </row>
    <row r="34" customFormat="false" ht="15" hidden="false" customHeight="false" outlineLevel="0" collapsed="false">
      <c r="A34" s="10" t="n">
        <v>2010</v>
      </c>
      <c r="B34" s="10" t="n">
        <v>3</v>
      </c>
      <c r="C34" s="10" t="s">
        <v>32</v>
      </c>
      <c r="D34" s="24" t="n">
        <v>14455</v>
      </c>
      <c r="E34" s="11" t="n">
        <v>35348.5</v>
      </c>
      <c r="F34" s="18" t="n">
        <v>2.4454</v>
      </c>
    </row>
    <row r="35" customFormat="false" ht="15" hidden="false" customHeight="false" outlineLevel="0" collapsed="false">
      <c r="A35" s="10" t="n">
        <v>2010</v>
      </c>
      <c r="B35" s="10" t="n">
        <v>3</v>
      </c>
      <c r="C35" s="10" t="s">
        <v>33</v>
      </c>
      <c r="D35" s="24" t="n">
        <v>41291</v>
      </c>
      <c r="E35" s="11" t="n">
        <v>57050.17</v>
      </c>
      <c r="F35" s="18" t="n">
        <v>1.3817</v>
      </c>
    </row>
    <row r="36" customFormat="false" ht="15" hidden="false" customHeight="false" outlineLevel="0" collapsed="false">
      <c r="A36" s="10" t="n">
        <v>2010</v>
      </c>
      <c r="B36" s="10" t="n">
        <v>3</v>
      </c>
      <c r="C36" s="10" t="s">
        <v>29</v>
      </c>
      <c r="D36" s="24" t="n">
        <v>34294</v>
      </c>
      <c r="E36" s="11" t="n">
        <v>76494.42</v>
      </c>
      <c r="F36" s="18" t="n">
        <v>2.2305</v>
      </c>
    </row>
    <row r="37" customFormat="false" ht="15" hidden="false" customHeight="false" outlineLevel="0" collapsed="false">
      <c r="A37" s="10" t="n">
        <v>2010</v>
      </c>
      <c r="B37" s="10" t="n">
        <v>4</v>
      </c>
      <c r="C37" s="10" t="s">
        <v>30</v>
      </c>
      <c r="D37" s="24" t="n">
        <v>37884</v>
      </c>
      <c r="E37" s="11" t="n">
        <v>64322.64</v>
      </c>
      <c r="F37" s="18" t="n">
        <v>1.6979</v>
      </c>
    </row>
    <row r="38" customFormat="false" ht="15" hidden="false" customHeight="false" outlineLevel="0" collapsed="false">
      <c r="A38" s="10" t="n">
        <v>2010</v>
      </c>
      <c r="B38" s="10" t="n">
        <v>4</v>
      </c>
      <c r="C38" s="10" t="s">
        <v>27</v>
      </c>
      <c r="D38" s="24" t="n">
        <v>52242</v>
      </c>
      <c r="E38" s="11" t="n">
        <v>93944.57</v>
      </c>
      <c r="F38" s="18" t="n">
        <v>1.7983</v>
      </c>
    </row>
    <row r="39" customFormat="false" ht="15" hidden="false" customHeight="false" outlineLevel="0" collapsed="false">
      <c r="A39" s="10" t="n">
        <v>2010</v>
      </c>
      <c r="B39" s="10" t="n">
        <v>4</v>
      </c>
      <c r="C39" s="10" t="s">
        <v>28</v>
      </c>
      <c r="D39" s="24" t="n">
        <v>58565</v>
      </c>
      <c r="E39" s="11" t="n">
        <v>101145.19</v>
      </c>
      <c r="F39" s="18" t="n">
        <v>1.7271</v>
      </c>
    </row>
    <row r="40" customFormat="false" ht="15" hidden="false" customHeight="false" outlineLevel="0" collapsed="false">
      <c r="A40" s="10" t="n">
        <v>2010</v>
      </c>
      <c r="B40" s="10" t="n">
        <v>4</v>
      </c>
      <c r="C40" s="10" t="s">
        <v>31</v>
      </c>
      <c r="D40" s="24" t="n">
        <v>33250</v>
      </c>
      <c r="E40" s="11" t="n">
        <v>57199.2</v>
      </c>
      <c r="F40" s="18" t="n">
        <v>1.7203</v>
      </c>
    </row>
    <row r="41" customFormat="false" ht="15" hidden="false" customHeight="false" outlineLevel="0" collapsed="false">
      <c r="A41" s="10" t="n">
        <v>2010</v>
      </c>
      <c r="B41" s="10" t="n">
        <v>4</v>
      </c>
      <c r="C41" s="10" t="s">
        <v>34</v>
      </c>
      <c r="D41" s="24" t="n">
        <v>110045</v>
      </c>
      <c r="E41" s="11" t="n">
        <v>191514.98</v>
      </c>
      <c r="F41" s="18" t="n">
        <v>1.7403</v>
      </c>
    </row>
    <row r="42" customFormat="false" ht="15" hidden="false" customHeight="false" outlineLevel="0" collapsed="false">
      <c r="A42" s="10" t="n">
        <v>2010</v>
      </c>
      <c r="B42" s="10" t="n">
        <v>4</v>
      </c>
      <c r="C42" s="10" t="s">
        <v>32</v>
      </c>
      <c r="D42" s="24" t="n">
        <v>15060</v>
      </c>
      <c r="E42" s="11" t="n">
        <v>39446.21</v>
      </c>
      <c r="F42" s="18" t="n">
        <v>2.6193</v>
      </c>
    </row>
    <row r="43" customFormat="false" ht="15" hidden="false" customHeight="false" outlineLevel="0" collapsed="false">
      <c r="A43" s="10" t="n">
        <v>2010</v>
      </c>
      <c r="B43" s="10" t="n">
        <v>4</v>
      </c>
      <c r="C43" s="10" t="s">
        <v>33</v>
      </c>
      <c r="D43" s="24" t="n">
        <v>33993</v>
      </c>
      <c r="E43" s="11" t="n">
        <v>40655.35</v>
      </c>
      <c r="F43" s="18" t="n">
        <v>1.196</v>
      </c>
    </row>
    <row r="44" customFormat="false" ht="15" hidden="false" customHeight="false" outlineLevel="0" collapsed="false">
      <c r="A44" s="10" t="n">
        <v>2010</v>
      </c>
      <c r="B44" s="10" t="n">
        <v>4</v>
      </c>
      <c r="C44" s="10" t="s">
        <v>29</v>
      </c>
      <c r="D44" s="24" t="n">
        <v>26527</v>
      </c>
      <c r="E44" s="11" t="n">
        <v>60919.61</v>
      </c>
      <c r="F44" s="18" t="n">
        <v>2.2965</v>
      </c>
    </row>
    <row r="45" customFormat="false" ht="15" hidden="false" customHeight="false" outlineLevel="0" collapsed="false">
      <c r="A45" s="10" t="n">
        <v>2010</v>
      </c>
      <c r="B45" s="10" t="n">
        <v>5</v>
      </c>
      <c r="C45" s="10" t="s">
        <v>30</v>
      </c>
      <c r="D45" s="24" t="n">
        <v>36206</v>
      </c>
      <c r="E45" s="11" t="n">
        <v>59948.7</v>
      </c>
      <c r="F45" s="18" t="n">
        <v>1.6558</v>
      </c>
    </row>
    <row r="46" customFormat="false" ht="15" hidden="false" customHeight="false" outlineLevel="0" collapsed="false">
      <c r="A46" s="10" t="n">
        <v>2010</v>
      </c>
      <c r="B46" s="10" t="n">
        <v>5</v>
      </c>
      <c r="C46" s="10" t="s">
        <v>27</v>
      </c>
      <c r="D46" s="24" t="n">
        <v>50655</v>
      </c>
      <c r="E46" s="11" t="n">
        <v>83948.2</v>
      </c>
      <c r="F46" s="18" t="n">
        <v>1.6573</v>
      </c>
    </row>
    <row r="47" customFormat="false" ht="15" hidden="false" customHeight="false" outlineLevel="0" collapsed="false">
      <c r="A47" s="10" t="n">
        <v>2010</v>
      </c>
      <c r="B47" s="10" t="n">
        <v>5</v>
      </c>
      <c r="C47" s="10" t="s">
        <v>28</v>
      </c>
      <c r="D47" s="24" t="n">
        <v>57719</v>
      </c>
      <c r="E47" s="11" t="n">
        <v>89780.61</v>
      </c>
      <c r="F47" s="18" t="n">
        <v>1.5555</v>
      </c>
    </row>
    <row r="48" customFormat="false" ht="15" hidden="false" customHeight="false" outlineLevel="0" collapsed="false">
      <c r="A48" s="10" t="n">
        <v>2010</v>
      </c>
      <c r="B48" s="10" t="n">
        <v>5</v>
      </c>
      <c r="C48" s="10" t="s">
        <v>31</v>
      </c>
      <c r="D48" s="24" t="n">
        <v>38731</v>
      </c>
      <c r="E48" s="11" t="n">
        <v>53166.08</v>
      </c>
      <c r="F48" s="18" t="n">
        <v>1.3727</v>
      </c>
    </row>
    <row r="49" customFormat="false" ht="15" hidden="false" customHeight="false" outlineLevel="0" collapsed="false">
      <c r="A49" s="10" t="n">
        <v>2010</v>
      </c>
      <c r="B49" s="10" t="n">
        <v>5</v>
      </c>
      <c r="C49" s="10" t="s">
        <v>34</v>
      </c>
      <c r="D49" s="24" t="n">
        <v>130695</v>
      </c>
      <c r="E49" s="11" t="n">
        <v>215869.4</v>
      </c>
      <c r="F49" s="18" t="n">
        <v>1.6517</v>
      </c>
    </row>
    <row r="50" customFormat="false" ht="15" hidden="false" customHeight="false" outlineLevel="0" collapsed="false">
      <c r="A50" s="10" t="n">
        <v>2010</v>
      </c>
      <c r="B50" s="10" t="n">
        <v>5</v>
      </c>
      <c r="C50" s="10" t="s">
        <v>32</v>
      </c>
      <c r="D50" s="24" t="n">
        <v>15529</v>
      </c>
      <c r="E50" s="11" t="n">
        <v>39941.1</v>
      </c>
      <c r="F50" s="18" t="n">
        <v>2.572</v>
      </c>
    </row>
    <row r="51" customFormat="false" ht="15" hidden="false" customHeight="false" outlineLevel="0" collapsed="false">
      <c r="A51" s="10" t="n">
        <v>2010</v>
      </c>
      <c r="B51" s="10" t="n">
        <v>5</v>
      </c>
      <c r="C51" s="10" t="s">
        <v>33</v>
      </c>
      <c r="D51" s="24" t="n">
        <v>40439</v>
      </c>
      <c r="E51" s="11" t="n">
        <v>41096.55</v>
      </c>
      <c r="F51" s="18" t="n">
        <v>1.0163</v>
      </c>
    </row>
    <row r="52" customFormat="false" ht="15" hidden="false" customHeight="false" outlineLevel="0" collapsed="false">
      <c r="A52" s="10" t="n">
        <v>2010</v>
      </c>
      <c r="B52" s="10" t="n">
        <v>5</v>
      </c>
      <c r="C52" s="10" t="s">
        <v>29</v>
      </c>
      <c r="D52" s="24" t="n">
        <v>26803</v>
      </c>
      <c r="E52" s="11" t="n">
        <v>61996.74</v>
      </c>
      <c r="F52" s="18" t="n">
        <v>2.3131</v>
      </c>
    </row>
    <row r="53" customFormat="false" ht="15" hidden="false" customHeight="false" outlineLevel="0" collapsed="false">
      <c r="A53" s="10" t="n">
        <v>2010</v>
      </c>
      <c r="B53" s="10" t="n">
        <v>6</v>
      </c>
      <c r="C53" s="10" t="s">
        <v>30</v>
      </c>
      <c r="D53" s="24" t="n">
        <v>47488</v>
      </c>
      <c r="E53" s="11" t="n">
        <v>80164.34</v>
      </c>
      <c r="F53" s="18" t="n">
        <v>1.6881</v>
      </c>
    </row>
    <row r="54" customFormat="false" ht="15" hidden="false" customHeight="false" outlineLevel="0" collapsed="false">
      <c r="A54" s="10" t="n">
        <v>2010</v>
      </c>
      <c r="B54" s="10" t="n">
        <v>6</v>
      </c>
      <c r="C54" s="10" t="s">
        <v>27</v>
      </c>
      <c r="D54" s="24" t="n">
        <v>44620</v>
      </c>
      <c r="E54" s="11" t="n">
        <v>86211.1</v>
      </c>
      <c r="F54" s="18" t="n">
        <v>1.9321</v>
      </c>
    </row>
    <row r="55" customFormat="false" ht="15" hidden="false" customHeight="false" outlineLevel="0" collapsed="false">
      <c r="A55" s="10" t="n">
        <v>2010</v>
      </c>
      <c r="B55" s="10" t="n">
        <v>6</v>
      </c>
      <c r="C55" s="10" t="s">
        <v>28</v>
      </c>
      <c r="D55" s="24" t="n">
        <v>62658</v>
      </c>
      <c r="E55" s="11" t="n">
        <v>108500.13</v>
      </c>
      <c r="F55" s="18" t="n">
        <v>1.7316</v>
      </c>
    </row>
    <row r="56" customFormat="false" ht="15" hidden="false" customHeight="false" outlineLevel="0" collapsed="false">
      <c r="A56" s="10" t="n">
        <v>2010</v>
      </c>
      <c r="B56" s="10" t="n">
        <v>6</v>
      </c>
      <c r="C56" s="10" t="s">
        <v>31</v>
      </c>
      <c r="D56" s="24" t="n">
        <v>36239</v>
      </c>
      <c r="E56" s="11" t="n">
        <v>56414.54</v>
      </c>
      <c r="F56" s="18" t="n">
        <v>1.5567</v>
      </c>
    </row>
    <row r="57" customFormat="false" ht="15" hidden="false" customHeight="false" outlineLevel="0" collapsed="false">
      <c r="A57" s="10" t="n">
        <v>2010</v>
      </c>
      <c r="B57" s="10" t="n">
        <v>6</v>
      </c>
      <c r="C57" s="10" t="s">
        <v>34</v>
      </c>
      <c r="D57" s="24" t="n">
        <v>122091</v>
      </c>
      <c r="E57" s="11" t="n">
        <v>203062.5</v>
      </c>
      <c r="F57" s="18" t="n">
        <v>1.6632</v>
      </c>
    </row>
    <row r="58" customFormat="false" ht="15" hidden="false" customHeight="false" outlineLevel="0" collapsed="false">
      <c r="A58" s="10" t="n">
        <v>2010</v>
      </c>
      <c r="B58" s="10" t="n">
        <v>6</v>
      </c>
      <c r="C58" s="10" t="s">
        <v>32</v>
      </c>
      <c r="D58" s="24" t="n">
        <v>16426</v>
      </c>
      <c r="E58" s="11" t="n">
        <v>42149.31</v>
      </c>
      <c r="F58" s="18" t="n">
        <v>2.566</v>
      </c>
    </row>
    <row r="59" customFormat="false" ht="15" hidden="false" customHeight="false" outlineLevel="0" collapsed="false">
      <c r="A59" s="10" t="n">
        <v>2010</v>
      </c>
      <c r="B59" s="10" t="n">
        <v>6</v>
      </c>
      <c r="C59" s="10" t="s">
        <v>33</v>
      </c>
      <c r="D59" s="24" t="n">
        <v>46737</v>
      </c>
      <c r="E59" s="11" t="n">
        <v>54111.66</v>
      </c>
      <c r="F59" s="18" t="n">
        <v>1.1578</v>
      </c>
    </row>
    <row r="60" customFormat="false" ht="15" hidden="false" customHeight="false" outlineLevel="0" collapsed="false">
      <c r="A60" s="10" t="n">
        <v>2010</v>
      </c>
      <c r="B60" s="10" t="n">
        <v>6</v>
      </c>
      <c r="C60" s="10" t="s">
        <v>29</v>
      </c>
      <c r="D60" s="24" t="n">
        <v>31798</v>
      </c>
      <c r="E60" s="11" t="n">
        <v>69433.49</v>
      </c>
      <c r="F60" s="18" t="n">
        <v>2.1836</v>
      </c>
    </row>
    <row r="61" customFormat="false" ht="15" hidden="false" customHeight="false" outlineLevel="0" collapsed="false">
      <c r="A61" s="10" t="n">
        <v>2010</v>
      </c>
      <c r="B61" s="10" t="n">
        <v>7</v>
      </c>
      <c r="C61" s="10" t="s">
        <v>30</v>
      </c>
      <c r="D61" s="24" t="n">
        <v>37368</v>
      </c>
      <c r="E61" s="11" t="n">
        <v>64094.42</v>
      </c>
      <c r="F61" s="18" t="n">
        <v>1.7152</v>
      </c>
    </row>
    <row r="62" customFormat="false" ht="15" hidden="false" customHeight="false" outlineLevel="0" collapsed="false">
      <c r="A62" s="10" t="n">
        <v>2010</v>
      </c>
      <c r="B62" s="10" t="n">
        <v>7</v>
      </c>
      <c r="C62" s="10" t="s">
        <v>27</v>
      </c>
      <c r="D62" s="24" t="n">
        <v>47858</v>
      </c>
      <c r="E62" s="11" t="n">
        <v>121653.22</v>
      </c>
      <c r="F62" s="18" t="n">
        <v>2.542</v>
      </c>
    </row>
    <row r="63" customFormat="false" ht="15" hidden="false" customHeight="false" outlineLevel="0" collapsed="false">
      <c r="A63" s="10" t="n">
        <v>2010</v>
      </c>
      <c r="B63" s="10" t="n">
        <v>7</v>
      </c>
      <c r="C63" s="10" t="s">
        <v>28</v>
      </c>
      <c r="D63" s="24" t="n">
        <v>53650</v>
      </c>
      <c r="E63" s="11" t="n">
        <v>104379.38</v>
      </c>
      <c r="F63" s="18" t="n">
        <v>1.9456</v>
      </c>
    </row>
    <row r="64" customFormat="false" ht="15" hidden="false" customHeight="false" outlineLevel="0" collapsed="false">
      <c r="A64" s="10" t="n">
        <v>2010</v>
      </c>
      <c r="B64" s="10" t="n">
        <v>7</v>
      </c>
      <c r="C64" s="10" t="s">
        <v>31</v>
      </c>
      <c r="D64" s="24" t="n">
        <v>30296</v>
      </c>
      <c r="E64" s="11" t="n">
        <v>47181.1</v>
      </c>
      <c r="F64" s="18" t="n">
        <v>1.5573</v>
      </c>
    </row>
    <row r="65" customFormat="false" ht="15" hidden="false" customHeight="false" outlineLevel="0" collapsed="false">
      <c r="A65" s="10" t="n">
        <v>2010</v>
      </c>
      <c r="B65" s="10" t="n">
        <v>7</v>
      </c>
      <c r="C65" s="10" t="s">
        <v>34</v>
      </c>
      <c r="D65" s="24" t="n">
        <v>90360</v>
      </c>
      <c r="E65" s="11" t="n">
        <v>149626.38</v>
      </c>
      <c r="F65" s="18" t="n">
        <v>1.6559</v>
      </c>
    </row>
    <row r="66" customFormat="false" ht="15" hidden="false" customHeight="false" outlineLevel="0" collapsed="false">
      <c r="A66" s="10" t="n">
        <v>2010</v>
      </c>
      <c r="B66" s="10" t="n">
        <v>7</v>
      </c>
      <c r="C66" s="10" t="s">
        <v>32</v>
      </c>
      <c r="D66" s="24" t="n">
        <v>18514</v>
      </c>
      <c r="E66" s="11" t="n">
        <v>33780.23</v>
      </c>
      <c r="F66" s="18" t="n">
        <v>1.8246</v>
      </c>
    </row>
    <row r="67" customFormat="false" ht="15" hidden="false" customHeight="false" outlineLevel="0" collapsed="false">
      <c r="A67" s="10" t="n">
        <v>2010</v>
      </c>
      <c r="B67" s="10" t="n">
        <v>7</v>
      </c>
      <c r="C67" s="10" t="s">
        <v>33</v>
      </c>
      <c r="D67" s="24" t="n">
        <v>32896</v>
      </c>
      <c r="E67" s="11" t="n">
        <v>40183.88</v>
      </c>
      <c r="F67" s="18" t="n">
        <v>1.2215</v>
      </c>
    </row>
    <row r="68" customFormat="false" ht="15" hidden="false" customHeight="false" outlineLevel="0" collapsed="false">
      <c r="A68" s="10" t="n">
        <v>2010</v>
      </c>
      <c r="B68" s="10" t="n">
        <v>7</v>
      </c>
      <c r="C68" s="10" t="s">
        <v>29</v>
      </c>
      <c r="D68" s="24" t="n">
        <v>27639</v>
      </c>
      <c r="E68" s="11" t="n">
        <v>73998.38</v>
      </c>
      <c r="F68" s="18" t="n">
        <v>2.6773</v>
      </c>
    </row>
    <row r="69" customFormat="false" ht="15" hidden="false" customHeight="false" outlineLevel="0" collapsed="false">
      <c r="A69" s="10" t="n">
        <v>2010</v>
      </c>
      <c r="B69" s="10" t="n">
        <v>8</v>
      </c>
      <c r="C69" s="10" t="s">
        <v>30</v>
      </c>
      <c r="D69" s="24" t="n">
        <v>45895</v>
      </c>
      <c r="E69" s="11" t="n">
        <v>73122.41</v>
      </c>
      <c r="F69" s="18" t="n">
        <v>1.5933</v>
      </c>
    </row>
    <row r="70" customFormat="false" ht="15" hidden="false" customHeight="false" outlineLevel="0" collapsed="false">
      <c r="A70" s="10" t="n">
        <v>2010</v>
      </c>
      <c r="B70" s="10" t="n">
        <v>8</v>
      </c>
      <c r="C70" s="10" t="s">
        <v>27</v>
      </c>
      <c r="D70" s="24" t="n">
        <v>70778</v>
      </c>
      <c r="E70" s="11" t="n">
        <v>141153.17</v>
      </c>
      <c r="F70" s="18" t="n">
        <v>1.9943</v>
      </c>
    </row>
    <row r="71" customFormat="false" ht="15" hidden="false" customHeight="false" outlineLevel="0" collapsed="false">
      <c r="A71" s="10" t="n">
        <v>2010</v>
      </c>
      <c r="B71" s="10" t="n">
        <v>8</v>
      </c>
      <c r="C71" s="10" t="s">
        <v>28</v>
      </c>
      <c r="D71" s="24" t="n">
        <v>97560</v>
      </c>
      <c r="E71" s="11" t="n">
        <v>106014.63</v>
      </c>
      <c r="F71" s="18" t="n">
        <v>1.0867</v>
      </c>
    </row>
    <row r="72" customFormat="false" ht="15" hidden="false" customHeight="false" outlineLevel="0" collapsed="false">
      <c r="A72" s="10" t="n">
        <v>2010</v>
      </c>
      <c r="B72" s="10" t="n">
        <v>8</v>
      </c>
      <c r="C72" s="10" t="s">
        <v>31</v>
      </c>
      <c r="D72" s="24" t="n">
        <v>38715</v>
      </c>
      <c r="E72" s="11" t="n">
        <v>49400.18</v>
      </c>
      <c r="F72" s="18" t="n">
        <v>1.276</v>
      </c>
    </row>
    <row r="73" customFormat="false" ht="15" hidden="false" customHeight="false" outlineLevel="0" collapsed="false">
      <c r="A73" s="10" t="n">
        <v>2010</v>
      </c>
      <c r="B73" s="10" t="n">
        <v>8</v>
      </c>
      <c r="C73" s="10" t="s">
        <v>34</v>
      </c>
      <c r="D73" s="24" t="n">
        <v>107005</v>
      </c>
      <c r="E73" s="11" t="n">
        <v>141839.81</v>
      </c>
      <c r="F73" s="18" t="n">
        <v>1.3255</v>
      </c>
    </row>
    <row r="74" customFormat="false" ht="15" hidden="false" customHeight="false" outlineLevel="0" collapsed="false">
      <c r="A74" s="10" t="n">
        <v>2010</v>
      </c>
      <c r="B74" s="10" t="n">
        <v>8</v>
      </c>
      <c r="C74" s="10" t="s">
        <v>32</v>
      </c>
      <c r="D74" s="24" t="n">
        <v>23401</v>
      </c>
      <c r="E74" s="11" t="n">
        <v>41696.25</v>
      </c>
      <c r="F74" s="18" t="n">
        <v>1.7818</v>
      </c>
    </row>
    <row r="75" customFormat="false" ht="15" hidden="false" customHeight="false" outlineLevel="0" collapsed="false">
      <c r="A75" s="10" t="n">
        <v>2010</v>
      </c>
      <c r="B75" s="10" t="n">
        <v>8</v>
      </c>
      <c r="C75" s="10" t="s">
        <v>33</v>
      </c>
      <c r="D75" s="24" t="n">
        <v>52293</v>
      </c>
      <c r="E75" s="11" t="n">
        <v>48959.94</v>
      </c>
      <c r="F75" s="18" t="n">
        <v>0.9363</v>
      </c>
    </row>
    <row r="76" customFormat="false" ht="15" hidden="false" customHeight="false" outlineLevel="0" collapsed="false">
      <c r="A76" s="10" t="n">
        <v>2010</v>
      </c>
      <c r="B76" s="10" t="n">
        <v>8</v>
      </c>
      <c r="C76" s="10" t="s">
        <v>29</v>
      </c>
      <c r="D76" s="24" t="n">
        <v>37516</v>
      </c>
      <c r="E76" s="11" t="n">
        <v>74066.33</v>
      </c>
      <c r="F76" s="18" t="n">
        <v>1.9743</v>
      </c>
    </row>
    <row r="77" customFormat="false" ht="15" hidden="false" customHeight="false" outlineLevel="0" collapsed="false">
      <c r="A77" s="10" t="n">
        <v>2010</v>
      </c>
      <c r="B77" s="10" t="n">
        <v>9</v>
      </c>
      <c r="C77" s="10" t="s">
        <v>30</v>
      </c>
      <c r="D77" s="24" t="n">
        <v>56134</v>
      </c>
      <c r="E77" s="11" t="n">
        <v>87865.13</v>
      </c>
      <c r="F77" s="18" t="n">
        <v>1.5653</v>
      </c>
    </row>
    <row r="78" customFormat="false" ht="15" hidden="false" customHeight="false" outlineLevel="0" collapsed="false">
      <c r="A78" s="10" t="n">
        <v>2010</v>
      </c>
      <c r="B78" s="10" t="n">
        <v>9</v>
      </c>
      <c r="C78" s="10" t="s">
        <v>27</v>
      </c>
      <c r="D78" s="24" t="n">
        <v>75062</v>
      </c>
      <c r="E78" s="11" t="n">
        <v>140150.2</v>
      </c>
      <c r="F78" s="18" t="n">
        <v>1.8671</v>
      </c>
    </row>
    <row r="79" customFormat="false" ht="15" hidden="false" customHeight="false" outlineLevel="0" collapsed="false">
      <c r="A79" s="10" t="n">
        <v>2010</v>
      </c>
      <c r="B79" s="10" t="n">
        <v>9</v>
      </c>
      <c r="C79" s="10" t="s">
        <v>28</v>
      </c>
      <c r="D79" s="24" t="n">
        <v>103910</v>
      </c>
      <c r="E79" s="11" t="n">
        <v>133867.67</v>
      </c>
      <c r="F79" s="18" t="n">
        <v>1.2883</v>
      </c>
    </row>
    <row r="80" customFormat="false" ht="15" hidden="false" customHeight="false" outlineLevel="0" collapsed="false">
      <c r="A80" s="10" t="n">
        <v>2010</v>
      </c>
      <c r="B80" s="10" t="n">
        <v>9</v>
      </c>
      <c r="C80" s="10" t="s">
        <v>31</v>
      </c>
      <c r="D80" s="24" t="n">
        <v>45095</v>
      </c>
      <c r="E80" s="11" t="n">
        <v>67582.08</v>
      </c>
      <c r="F80" s="18" t="n">
        <v>1.4987</v>
      </c>
    </row>
    <row r="81" customFormat="false" ht="15" hidden="false" customHeight="false" outlineLevel="0" collapsed="false">
      <c r="A81" s="10" t="n">
        <v>2010</v>
      </c>
      <c r="B81" s="10" t="n">
        <v>9</v>
      </c>
      <c r="C81" s="10" t="s">
        <v>34</v>
      </c>
      <c r="D81" s="24" t="n">
        <v>130731</v>
      </c>
      <c r="E81" s="11" t="n">
        <v>180251.43</v>
      </c>
      <c r="F81" s="18" t="n">
        <v>1.3788</v>
      </c>
    </row>
    <row r="82" customFormat="false" ht="15" hidden="false" customHeight="false" outlineLevel="0" collapsed="false">
      <c r="A82" s="10" t="n">
        <v>2010</v>
      </c>
      <c r="B82" s="10" t="n">
        <v>9</v>
      </c>
      <c r="C82" s="10" t="s">
        <v>32</v>
      </c>
      <c r="D82" s="24" t="n">
        <v>59376</v>
      </c>
      <c r="E82" s="11" t="n">
        <v>89742.64</v>
      </c>
      <c r="F82" s="18" t="n">
        <v>1.5114</v>
      </c>
    </row>
    <row r="83" customFormat="false" ht="15" hidden="false" customHeight="false" outlineLevel="0" collapsed="false">
      <c r="A83" s="10" t="n">
        <v>2010</v>
      </c>
      <c r="B83" s="10" t="n">
        <v>9</v>
      </c>
      <c r="C83" s="10" t="s">
        <v>33</v>
      </c>
      <c r="D83" s="24" t="n">
        <v>65461</v>
      </c>
      <c r="E83" s="11" t="n">
        <v>68853.86</v>
      </c>
      <c r="F83" s="18" t="n">
        <v>1.0518</v>
      </c>
    </row>
    <row r="84" customFormat="false" ht="15" hidden="false" customHeight="false" outlineLevel="0" collapsed="false">
      <c r="A84" s="10" t="n">
        <v>2010</v>
      </c>
      <c r="B84" s="10" t="n">
        <v>9</v>
      </c>
      <c r="C84" s="10" t="s">
        <v>29</v>
      </c>
      <c r="D84" s="24" t="n">
        <v>49086</v>
      </c>
      <c r="E84" s="11" t="n">
        <v>103565.33</v>
      </c>
      <c r="F84" s="18" t="n">
        <v>2.1099</v>
      </c>
    </row>
    <row r="85" customFormat="false" ht="15" hidden="false" customHeight="false" outlineLevel="0" collapsed="false">
      <c r="A85" s="10" t="n">
        <v>2010</v>
      </c>
      <c r="B85" s="10" t="n">
        <v>10</v>
      </c>
      <c r="C85" s="10" t="s">
        <v>30</v>
      </c>
      <c r="D85" s="24" t="n">
        <v>39688</v>
      </c>
      <c r="E85" s="11" t="n">
        <v>68477.25</v>
      </c>
      <c r="F85" s="18" t="n">
        <v>1.7254</v>
      </c>
    </row>
    <row r="86" customFormat="false" ht="15" hidden="false" customHeight="false" outlineLevel="0" collapsed="false">
      <c r="A86" s="10" t="n">
        <v>2010</v>
      </c>
      <c r="B86" s="10" t="n">
        <v>10</v>
      </c>
      <c r="C86" s="10" t="s">
        <v>27</v>
      </c>
      <c r="D86" s="24" t="n">
        <v>94160</v>
      </c>
      <c r="E86" s="11" t="n">
        <v>184339.56</v>
      </c>
      <c r="F86" s="18" t="n">
        <v>1.9577</v>
      </c>
    </row>
    <row r="87" customFormat="false" ht="15" hidden="false" customHeight="false" outlineLevel="0" collapsed="false">
      <c r="A87" s="10" t="n">
        <v>2010</v>
      </c>
      <c r="B87" s="10" t="n">
        <v>10</v>
      </c>
      <c r="C87" s="10" t="s">
        <v>28</v>
      </c>
      <c r="D87" s="24" t="n">
        <v>78303</v>
      </c>
      <c r="E87" s="11" t="n">
        <v>169798.18</v>
      </c>
      <c r="F87" s="18" t="n">
        <v>2.1685</v>
      </c>
    </row>
    <row r="88" customFormat="false" ht="15" hidden="false" customHeight="false" outlineLevel="0" collapsed="false">
      <c r="A88" s="10" t="n">
        <v>2010</v>
      </c>
      <c r="B88" s="10" t="n">
        <v>10</v>
      </c>
      <c r="C88" s="10" t="s">
        <v>31</v>
      </c>
      <c r="D88" s="24" t="n">
        <v>48288</v>
      </c>
      <c r="E88" s="11" t="n">
        <v>87868.7</v>
      </c>
      <c r="F88" s="18" t="n">
        <v>1.8197</v>
      </c>
    </row>
    <row r="89" customFormat="false" ht="15" hidden="false" customHeight="false" outlineLevel="0" collapsed="false">
      <c r="A89" s="10" t="n">
        <v>2010</v>
      </c>
      <c r="B89" s="10" t="n">
        <v>10</v>
      </c>
      <c r="C89" s="10" t="s">
        <v>34</v>
      </c>
      <c r="D89" s="24" t="n">
        <v>155345</v>
      </c>
      <c r="E89" s="11" t="n">
        <v>233567.94</v>
      </c>
      <c r="F89" s="18" t="n">
        <v>1.5035</v>
      </c>
    </row>
    <row r="90" customFormat="false" ht="15" hidden="false" customHeight="false" outlineLevel="0" collapsed="false">
      <c r="A90" s="10" t="n">
        <v>2010</v>
      </c>
      <c r="B90" s="10" t="n">
        <v>10</v>
      </c>
      <c r="C90" s="10" t="s">
        <v>32</v>
      </c>
      <c r="D90" s="24" t="n">
        <v>84656</v>
      </c>
      <c r="E90" s="11" t="n">
        <v>130809.95</v>
      </c>
      <c r="F90" s="18" t="n">
        <v>1.5452</v>
      </c>
    </row>
    <row r="91" customFormat="false" ht="15" hidden="false" customHeight="false" outlineLevel="0" collapsed="false">
      <c r="A91" s="10" t="n">
        <v>2010</v>
      </c>
      <c r="B91" s="10" t="n">
        <v>10</v>
      </c>
      <c r="C91" s="10" t="s">
        <v>33</v>
      </c>
      <c r="D91" s="24" t="n">
        <v>72690</v>
      </c>
      <c r="E91" s="11" t="n">
        <v>99464.77</v>
      </c>
      <c r="F91" s="18" t="n">
        <v>1.3683</v>
      </c>
    </row>
    <row r="92" customFormat="false" ht="15" hidden="false" customHeight="false" outlineLevel="0" collapsed="false">
      <c r="A92" s="10" t="n">
        <v>2010</v>
      </c>
      <c r="B92" s="10" t="n">
        <v>10</v>
      </c>
      <c r="C92" s="10" t="s">
        <v>29</v>
      </c>
      <c r="D92" s="24" t="n">
        <v>48480</v>
      </c>
      <c r="E92" s="11" t="n">
        <v>123691.32</v>
      </c>
      <c r="F92" s="18" t="n">
        <v>2.5514</v>
      </c>
    </row>
    <row r="93" customFormat="false" ht="15" hidden="false" customHeight="false" outlineLevel="0" collapsed="false">
      <c r="A93" s="10" t="n">
        <v>2010</v>
      </c>
      <c r="B93" s="10" t="n">
        <v>11</v>
      </c>
      <c r="C93" s="10" t="s">
        <v>30</v>
      </c>
      <c r="D93" s="24" t="n">
        <v>48869</v>
      </c>
      <c r="E93" s="11" t="n">
        <v>87444.28</v>
      </c>
      <c r="F93" s="18" t="n">
        <v>1.7894</v>
      </c>
    </row>
    <row r="94" customFormat="false" ht="15" hidden="false" customHeight="false" outlineLevel="0" collapsed="false">
      <c r="A94" s="10" t="n">
        <v>2010</v>
      </c>
      <c r="B94" s="10" t="n">
        <v>11</v>
      </c>
      <c r="C94" s="10" t="s">
        <v>27</v>
      </c>
      <c r="D94" s="24" t="n">
        <v>112163</v>
      </c>
      <c r="E94" s="11" t="n">
        <v>256459.65</v>
      </c>
      <c r="F94" s="18" t="n">
        <v>2.2865</v>
      </c>
    </row>
    <row r="95" customFormat="false" ht="15" hidden="false" customHeight="false" outlineLevel="0" collapsed="false">
      <c r="A95" s="10" t="n">
        <v>2010</v>
      </c>
      <c r="B95" s="10" t="n">
        <v>11</v>
      </c>
      <c r="C95" s="10" t="s">
        <v>28</v>
      </c>
      <c r="D95" s="24" t="n">
        <v>92124</v>
      </c>
      <c r="E95" s="11" t="n">
        <v>225459.26</v>
      </c>
      <c r="F95" s="18" t="n">
        <v>2.4473</v>
      </c>
    </row>
    <row r="96" customFormat="false" ht="15" hidden="false" customHeight="false" outlineLevel="0" collapsed="false">
      <c r="A96" s="10" t="n">
        <v>2010</v>
      </c>
      <c r="B96" s="10" t="n">
        <v>11</v>
      </c>
      <c r="C96" s="10" t="s">
        <v>31</v>
      </c>
      <c r="D96" s="24" t="n">
        <v>69144</v>
      </c>
      <c r="E96" s="11" t="n">
        <v>125929.18</v>
      </c>
      <c r="F96" s="18" t="n">
        <v>1.8213</v>
      </c>
    </row>
    <row r="97" customFormat="false" ht="15" hidden="false" customHeight="false" outlineLevel="0" collapsed="false">
      <c r="A97" s="10" t="n">
        <v>2010</v>
      </c>
      <c r="B97" s="10" t="n">
        <v>11</v>
      </c>
      <c r="C97" s="10" t="s">
        <v>34</v>
      </c>
      <c r="D97" s="24" t="n">
        <v>168659</v>
      </c>
      <c r="E97" s="11" t="n">
        <v>281248.59</v>
      </c>
      <c r="F97" s="18" t="n">
        <v>1.6676</v>
      </c>
    </row>
    <row r="98" customFormat="false" ht="15" hidden="false" customHeight="false" outlineLevel="0" collapsed="false">
      <c r="A98" s="10" t="n">
        <v>2010</v>
      </c>
      <c r="B98" s="10" t="n">
        <v>11</v>
      </c>
      <c r="C98" s="10" t="s">
        <v>32</v>
      </c>
      <c r="D98" s="24" t="n">
        <v>93639</v>
      </c>
      <c r="E98" s="11" t="n">
        <v>178851.2</v>
      </c>
      <c r="F98" s="18" t="n">
        <v>1.91</v>
      </c>
    </row>
    <row r="99" customFormat="false" ht="15" hidden="false" customHeight="false" outlineLevel="0" collapsed="false">
      <c r="A99" s="10" t="n">
        <v>2010</v>
      </c>
      <c r="B99" s="10" t="n">
        <v>11</v>
      </c>
      <c r="C99" s="10" t="s">
        <v>33</v>
      </c>
      <c r="D99" s="24" t="n">
        <v>80766</v>
      </c>
      <c r="E99" s="11" t="n">
        <v>119369.82</v>
      </c>
      <c r="F99" s="18" t="n">
        <v>1.478</v>
      </c>
    </row>
    <row r="100" customFormat="false" ht="15" hidden="false" customHeight="false" outlineLevel="0" collapsed="false">
      <c r="A100" s="10" t="n">
        <v>2010</v>
      </c>
      <c r="B100" s="10" t="n">
        <v>11</v>
      </c>
      <c r="C100" s="10" t="s">
        <v>29</v>
      </c>
      <c r="D100" s="24" t="n">
        <v>62191</v>
      </c>
      <c r="E100" s="11" t="n">
        <v>160964.41</v>
      </c>
      <c r="F100" s="18" t="n">
        <v>2.5882</v>
      </c>
    </row>
    <row r="101" customFormat="false" ht="15" hidden="false" customHeight="false" outlineLevel="0" collapsed="false">
      <c r="A101" s="10" t="n">
        <v>2010</v>
      </c>
      <c r="B101" s="10" t="n">
        <v>12</v>
      </c>
      <c r="C101" s="10" t="s">
        <v>30</v>
      </c>
      <c r="D101" s="24" t="n">
        <v>33940</v>
      </c>
      <c r="E101" s="11" t="n">
        <v>69026.22</v>
      </c>
      <c r="F101" s="18" t="n">
        <v>2.0338</v>
      </c>
    </row>
    <row r="102" customFormat="false" ht="15" hidden="false" customHeight="false" outlineLevel="0" collapsed="false">
      <c r="A102" s="10" t="n">
        <v>2010</v>
      </c>
      <c r="B102" s="10" t="n">
        <v>12</v>
      </c>
      <c r="C102" s="10" t="s">
        <v>27</v>
      </c>
      <c r="D102" s="24" t="n">
        <v>89258</v>
      </c>
      <c r="E102" s="11" t="n">
        <v>212753.78</v>
      </c>
      <c r="F102" s="18" t="n">
        <v>2.3836</v>
      </c>
    </row>
    <row r="103" customFormat="false" ht="15" hidden="false" customHeight="false" outlineLevel="0" collapsed="false">
      <c r="A103" s="10" t="n">
        <v>2010</v>
      </c>
      <c r="B103" s="10" t="n">
        <v>12</v>
      </c>
      <c r="C103" s="10" t="s">
        <v>28</v>
      </c>
      <c r="D103" s="24" t="n">
        <v>82549</v>
      </c>
      <c r="E103" s="11" t="n">
        <v>239937.08</v>
      </c>
      <c r="F103" s="18" t="n">
        <v>2.9066</v>
      </c>
    </row>
    <row r="104" customFormat="false" ht="15" hidden="false" customHeight="false" outlineLevel="0" collapsed="false">
      <c r="A104" s="10" t="n">
        <v>2010</v>
      </c>
      <c r="B104" s="10" t="n">
        <v>12</v>
      </c>
      <c r="C104" s="10" t="s">
        <v>31</v>
      </c>
      <c r="D104" s="24" t="n">
        <v>54308</v>
      </c>
      <c r="E104" s="11" t="n">
        <v>106303.3</v>
      </c>
      <c r="F104" s="18" t="n">
        <v>1.9574</v>
      </c>
    </row>
    <row r="105" customFormat="false" ht="15" hidden="false" customHeight="false" outlineLevel="0" collapsed="false">
      <c r="A105" s="10" t="n">
        <v>2010</v>
      </c>
      <c r="B105" s="10" t="n">
        <v>12</v>
      </c>
      <c r="C105" s="10" t="s">
        <v>34</v>
      </c>
      <c r="D105" s="24" t="n">
        <v>125867</v>
      </c>
      <c r="E105" s="11" t="n">
        <v>229215.22</v>
      </c>
      <c r="F105" s="18" t="n">
        <v>1.8211</v>
      </c>
    </row>
    <row r="106" customFormat="false" ht="15" hidden="false" customHeight="false" outlineLevel="0" collapsed="false">
      <c r="A106" s="10" t="n">
        <v>2010</v>
      </c>
      <c r="B106" s="10" t="n">
        <v>12</v>
      </c>
      <c r="C106" s="10" t="s">
        <v>32</v>
      </c>
      <c r="D106" s="24" t="n">
        <v>46820</v>
      </c>
      <c r="E106" s="11" t="n">
        <v>84861.79</v>
      </c>
      <c r="F106" s="18" t="n">
        <v>1.8125</v>
      </c>
    </row>
    <row r="107" customFormat="false" ht="15" hidden="false" customHeight="false" outlineLevel="0" collapsed="false">
      <c r="A107" s="10" t="n">
        <v>2010</v>
      </c>
      <c r="B107" s="10" t="n">
        <v>12</v>
      </c>
      <c r="C107" s="10" t="s">
        <v>33</v>
      </c>
      <c r="D107" s="24" t="n">
        <v>54394</v>
      </c>
      <c r="E107" s="11" t="n">
        <v>94748.19</v>
      </c>
      <c r="F107" s="18" t="n">
        <v>1.7419</v>
      </c>
    </row>
    <row r="108" customFormat="false" ht="15" hidden="false" customHeight="false" outlineLevel="0" collapsed="false">
      <c r="A108" s="10" t="n">
        <v>2010</v>
      </c>
      <c r="B108" s="10" t="n">
        <v>12</v>
      </c>
      <c r="C108" s="10" t="s">
        <v>29</v>
      </c>
      <c r="D108" s="24" t="n">
        <v>52327</v>
      </c>
      <c r="E108" s="11" t="n">
        <v>150312.75</v>
      </c>
      <c r="F108" s="18" t="n">
        <v>2.8726</v>
      </c>
    </row>
    <row r="109" customFormat="false" ht="15" hidden="false" customHeight="false" outlineLevel="0" collapsed="false">
      <c r="A109" s="10" t="n">
        <v>2011</v>
      </c>
      <c r="B109" s="10" t="n">
        <v>1</v>
      </c>
      <c r="C109" s="10" t="s">
        <v>30</v>
      </c>
      <c r="D109" s="24" t="n">
        <v>29345</v>
      </c>
      <c r="E109" s="11" t="n">
        <v>52050.8</v>
      </c>
      <c r="F109" s="18" t="n">
        <v>1.7738</v>
      </c>
    </row>
    <row r="110" customFormat="false" ht="15" hidden="false" customHeight="false" outlineLevel="0" collapsed="false">
      <c r="A110" s="10" t="n">
        <v>2011</v>
      </c>
      <c r="B110" s="10" t="n">
        <v>1</v>
      </c>
      <c r="C110" s="10" t="s">
        <v>27</v>
      </c>
      <c r="D110" s="24" t="n">
        <v>50871</v>
      </c>
      <c r="E110" s="11" t="n">
        <v>104348.62</v>
      </c>
      <c r="F110" s="18" t="n">
        <v>2.0512</v>
      </c>
    </row>
    <row r="111" customFormat="false" ht="15" hidden="false" customHeight="false" outlineLevel="0" collapsed="false">
      <c r="A111" s="10" t="n">
        <v>2011</v>
      </c>
      <c r="B111" s="10" t="n">
        <v>1</v>
      </c>
      <c r="C111" s="10" t="s">
        <v>28</v>
      </c>
      <c r="D111" s="24" t="n">
        <v>53788</v>
      </c>
      <c r="E111" s="11" t="n">
        <v>117845.75</v>
      </c>
      <c r="F111" s="18" t="n">
        <v>2.1909</v>
      </c>
    </row>
    <row r="112" customFormat="false" ht="15" hidden="false" customHeight="false" outlineLevel="0" collapsed="false">
      <c r="A112" s="10" t="n">
        <v>2011</v>
      </c>
      <c r="B112" s="10" t="n">
        <v>1</v>
      </c>
      <c r="C112" s="10" t="s">
        <v>31</v>
      </c>
      <c r="D112" s="24" t="n">
        <v>28399</v>
      </c>
      <c r="E112" s="11" t="n">
        <v>52207.54</v>
      </c>
      <c r="F112" s="18" t="n">
        <v>1.8384</v>
      </c>
    </row>
    <row r="113" customFormat="false" ht="15" hidden="false" customHeight="false" outlineLevel="0" collapsed="false">
      <c r="A113" s="10" t="n">
        <v>2011</v>
      </c>
      <c r="B113" s="10" t="n">
        <v>1</v>
      </c>
      <c r="C113" s="10" t="s">
        <v>34</v>
      </c>
      <c r="D113" s="24" t="n">
        <v>78035</v>
      </c>
      <c r="E113" s="11" t="n">
        <v>127457.91</v>
      </c>
      <c r="F113" s="18" t="n">
        <v>1.6333</v>
      </c>
    </row>
    <row r="114" customFormat="false" ht="15" hidden="false" customHeight="false" outlineLevel="0" collapsed="false">
      <c r="A114" s="10" t="n">
        <v>2011</v>
      </c>
      <c r="B114" s="10" t="n">
        <v>1</v>
      </c>
      <c r="C114" s="10" t="s">
        <v>32</v>
      </c>
      <c r="D114" s="24" t="n">
        <v>10902</v>
      </c>
      <c r="E114" s="11" t="n">
        <v>22784.69</v>
      </c>
      <c r="F114" s="18" t="n">
        <v>2.09</v>
      </c>
    </row>
    <row r="115" customFormat="false" ht="15" hidden="false" customHeight="false" outlineLevel="0" collapsed="false">
      <c r="A115" s="10" t="n">
        <v>2011</v>
      </c>
      <c r="B115" s="10" t="n">
        <v>1</v>
      </c>
      <c r="C115" s="10" t="s">
        <v>33</v>
      </c>
      <c r="D115" s="24" t="n">
        <v>29797</v>
      </c>
      <c r="E115" s="11" t="n">
        <v>33878.65</v>
      </c>
      <c r="F115" s="18" t="n">
        <v>1.137</v>
      </c>
    </row>
    <row r="116" customFormat="false" ht="15" hidden="false" customHeight="false" outlineLevel="0" collapsed="false">
      <c r="A116" s="10" t="n">
        <v>2011</v>
      </c>
      <c r="B116" s="10" t="n">
        <v>1</v>
      </c>
      <c r="C116" s="10" t="s">
        <v>29</v>
      </c>
      <c r="D116" s="24" t="n">
        <v>106287</v>
      </c>
      <c r="E116" s="11" t="n">
        <v>161359.23</v>
      </c>
      <c r="F116" s="18" t="n">
        <v>1.5181</v>
      </c>
    </row>
    <row r="117" customFormat="false" ht="15" hidden="false" customHeight="false" outlineLevel="0" collapsed="false">
      <c r="A117" s="10" t="n">
        <v>2011</v>
      </c>
      <c r="B117" s="10" t="n">
        <v>2</v>
      </c>
      <c r="C117" s="10" t="s">
        <v>30</v>
      </c>
      <c r="D117" s="24" t="n">
        <v>24704</v>
      </c>
      <c r="E117" s="11" t="n">
        <v>43487.12</v>
      </c>
      <c r="F117" s="18" t="n">
        <v>1.7603</v>
      </c>
    </row>
    <row r="118" customFormat="false" ht="15" hidden="false" customHeight="false" outlineLevel="0" collapsed="false">
      <c r="A118" s="10" t="n">
        <v>2011</v>
      </c>
      <c r="B118" s="10" t="n">
        <v>2</v>
      </c>
      <c r="C118" s="10" t="s">
        <v>27</v>
      </c>
      <c r="D118" s="24" t="n">
        <v>52909</v>
      </c>
      <c r="E118" s="11" t="n">
        <v>99133.94</v>
      </c>
      <c r="F118" s="18" t="n">
        <v>1.8737</v>
      </c>
    </row>
    <row r="119" customFormat="false" ht="15" hidden="false" customHeight="false" outlineLevel="0" collapsed="false">
      <c r="A119" s="10" t="n">
        <v>2011</v>
      </c>
      <c r="B119" s="10" t="n">
        <v>2</v>
      </c>
      <c r="C119" s="10" t="s">
        <v>28</v>
      </c>
      <c r="D119" s="24" t="n">
        <v>38364</v>
      </c>
      <c r="E119" s="11" t="n">
        <v>79636.08</v>
      </c>
      <c r="F119" s="18" t="n">
        <v>2.0758</v>
      </c>
    </row>
    <row r="120" customFormat="false" ht="15" hidden="false" customHeight="false" outlineLevel="0" collapsed="false">
      <c r="A120" s="10" t="n">
        <v>2011</v>
      </c>
      <c r="B120" s="10" t="n">
        <v>2</v>
      </c>
      <c r="C120" s="10" t="s">
        <v>31</v>
      </c>
      <c r="D120" s="24" t="n">
        <v>21816</v>
      </c>
      <c r="E120" s="11" t="n">
        <v>33488.09</v>
      </c>
      <c r="F120" s="18" t="n">
        <v>1.535</v>
      </c>
    </row>
    <row r="121" customFormat="false" ht="15" hidden="false" customHeight="false" outlineLevel="0" collapsed="false">
      <c r="A121" s="10" t="n">
        <v>2011</v>
      </c>
      <c r="B121" s="10" t="n">
        <v>2</v>
      </c>
      <c r="C121" s="10" t="s">
        <v>34</v>
      </c>
      <c r="D121" s="24" t="n">
        <v>70650</v>
      </c>
      <c r="E121" s="11" t="n">
        <v>113278.2</v>
      </c>
      <c r="F121" s="18" t="n">
        <v>1.6034</v>
      </c>
    </row>
    <row r="122" customFormat="false" ht="15" hidden="false" customHeight="false" outlineLevel="0" collapsed="false">
      <c r="A122" s="10" t="n">
        <v>2011</v>
      </c>
      <c r="B122" s="10" t="n">
        <v>2</v>
      </c>
      <c r="C122" s="10" t="s">
        <v>32</v>
      </c>
      <c r="D122" s="24" t="n">
        <v>10395</v>
      </c>
      <c r="E122" s="11" t="n">
        <v>26099.86</v>
      </c>
      <c r="F122" s="18" t="n">
        <v>2.5108</v>
      </c>
    </row>
    <row r="123" customFormat="false" ht="15" hidden="false" customHeight="false" outlineLevel="0" collapsed="false">
      <c r="A123" s="10" t="n">
        <v>2011</v>
      </c>
      <c r="B123" s="10" t="n">
        <v>2</v>
      </c>
      <c r="C123" s="10" t="s">
        <v>33</v>
      </c>
      <c r="D123" s="24" t="n">
        <v>31820</v>
      </c>
      <c r="E123" s="11" t="n">
        <v>43360.24</v>
      </c>
      <c r="F123" s="18" t="n">
        <v>1.3627</v>
      </c>
    </row>
    <row r="124" customFormat="false" ht="15" hidden="false" customHeight="false" outlineLevel="0" collapsed="false">
      <c r="A124" s="10" t="n">
        <v>2011</v>
      </c>
      <c r="B124" s="10" t="n">
        <v>2</v>
      </c>
      <c r="C124" s="10" t="s">
        <v>29</v>
      </c>
      <c r="D124" s="24" t="n">
        <v>32590</v>
      </c>
      <c r="E124" s="11" t="n">
        <v>70402.67</v>
      </c>
      <c r="F124" s="18" t="n">
        <v>2.1603</v>
      </c>
    </row>
    <row r="125" customFormat="false" ht="15" hidden="false" customHeight="false" outlineLevel="0" collapsed="false">
      <c r="A125" s="10" t="n">
        <v>2011</v>
      </c>
      <c r="B125" s="10" t="n">
        <v>3</v>
      </c>
      <c r="C125" s="10" t="s">
        <v>30</v>
      </c>
      <c r="D125" s="24" t="n">
        <v>44659</v>
      </c>
      <c r="E125" s="11" t="n">
        <v>80521.77</v>
      </c>
      <c r="F125" s="18" t="n">
        <v>1.803</v>
      </c>
    </row>
    <row r="126" customFormat="false" ht="15" hidden="false" customHeight="false" outlineLevel="0" collapsed="false">
      <c r="A126" s="10" t="n">
        <v>2011</v>
      </c>
      <c r="B126" s="10" t="n">
        <v>3</v>
      </c>
      <c r="C126" s="10" t="s">
        <v>27</v>
      </c>
      <c r="D126" s="24" t="n">
        <v>54738</v>
      </c>
      <c r="E126" s="11" t="n">
        <v>117410.5</v>
      </c>
      <c r="F126" s="18" t="n">
        <v>2.145</v>
      </c>
    </row>
    <row r="127" customFormat="false" ht="15" hidden="false" customHeight="false" outlineLevel="0" collapsed="false">
      <c r="A127" s="10" t="n">
        <v>2011</v>
      </c>
      <c r="B127" s="10" t="n">
        <v>3</v>
      </c>
      <c r="C127" s="10" t="s">
        <v>28</v>
      </c>
      <c r="D127" s="24" t="n">
        <v>56112</v>
      </c>
      <c r="E127" s="11" t="n">
        <v>103727.51</v>
      </c>
      <c r="F127" s="18" t="n">
        <v>1.8486</v>
      </c>
    </row>
    <row r="128" customFormat="false" ht="15" hidden="false" customHeight="false" outlineLevel="0" collapsed="false">
      <c r="A128" s="10" t="n">
        <v>2011</v>
      </c>
      <c r="B128" s="10" t="n">
        <v>3</v>
      </c>
      <c r="C128" s="10" t="s">
        <v>31</v>
      </c>
      <c r="D128" s="24" t="n">
        <v>24473</v>
      </c>
      <c r="E128" s="11" t="n">
        <v>40912.1</v>
      </c>
      <c r="F128" s="18" t="n">
        <v>1.6717</v>
      </c>
    </row>
    <row r="129" customFormat="false" ht="15" hidden="false" customHeight="false" outlineLevel="0" collapsed="false">
      <c r="A129" s="10" t="n">
        <v>2011</v>
      </c>
      <c r="B129" s="10" t="n">
        <v>3</v>
      </c>
      <c r="C129" s="10" t="s">
        <v>34</v>
      </c>
      <c r="D129" s="24" t="n">
        <v>106553</v>
      </c>
      <c r="E129" s="11" t="n">
        <v>166283.11</v>
      </c>
      <c r="F129" s="18" t="n">
        <v>1.5606</v>
      </c>
    </row>
    <row r="130" customFormat="false" ht="15" hidden="false" customHeight="false" outlineLevel="0" collapsed="false">
      <c r="A130" s="10" t="n">
        <v>2011</v>
      </c>
      <c r="B130" s="10" t="n">
        <v>3</v>
      </c>
      <c r="C130" s="10" t="s">
        <v>32</v>
      </c>
      <c r="D130" s="24" t="n">
        <v>13667</v>
      </c>
      <c r="E130" s="11" t="n">
        <v>40700.01</v>
      </c>
      <c r="F130" s="18" t="n">
        <v>2.978</v>
      </c>
    </row>
    <row r="131" customFormat="false" ht="15" hidden="false" customHeight="false" outlineLevel="0" collapsed="false">
      <c r="A131" s="10" t="n">
        <v>2011</v>
      </c>
      <c r="B131" s="10" t="n">
        <v>3</v>
      </c>
      <c r="C131" s="10" t="s">
        <v>33</v>
      </c>
      <c r="D131" s="24" t="n">
        <v>41497</v>
      </c>
      <c r="E131" s="11" t="n">
        <v>53543.85</v>
      </c>
      <c r="F131" s="18" t="n">
        <v>1.2903</v>
      </c>
    </row>
    <row r="132" customFormat="false" ht="15" hidden="false" customHeight="false" outlineLevel="0" collapsed="false">
      <c r="A132" s="10" t="n">
        <v>2011</v>
      </c>
      <c r="B132" s="10" t="n">
        <v>3</v>
      </c>
      <c r="C132" s="10" t="s">
        <v>29</v>
      </c>
      <c r="D132" s="24" t="n">
        <v>35410</v>
      </c>
      <c r="E132" s="11" t="n">
        <v>88158.76</v>
      </c>
      <c r="F132" s="18" t="n">
        <v>2.4897</v>
      </c>
    </row>
    <row r="133" customFormat="false" ht="15" hidden="false" customHeight="false" outlineLevel="0" collapsed="false">
      <c r="A133" s="10" t="n">
        <v>2011</v>
      </c>
      <c r="B133" s="10" t="n">
        <v>4</v>
      </c>
      <c r="C133" s="10" t="s">
        <v>30</v>
      </c>
      <c r="D133" s="24" t="n">
        <v>28775</v>
      </c>
      <c r="E133" s="11" t="n">
        <v>50324.42</v>
      </c>
      <c r="F133" s="18" t="n">
        <v>1.7489</v>
      </c>
    </row>
    <row r="134" customFormat="false" ht="15" hidden="false" customHeight="false" outlineLevel="0" collapsed="false">
      <c r="A134" s="10" t="n">
        <v>2011</v>
      </c>
      <c r="B134" s="10" t="n">
        <v>4</v>
      </c>
      <c r="C134" s="10" t="s">
        <v>27</v>
      </c>
      <c r="D134" s="24" t="n">
        <v>53055</v>
      </c>
      <c r="E134" s="11" t="n">
        <v>95401.93</v>
      </c>
      <c r="F134" s="18" t="n">
        <v>1.7982</v>
      </c>
    </row>
    <row r="135" customFormat="false" ht="15" hidden="false" customHeight="false" outlineLevel="0" collapsed="false">
      <c r="A135" s="10" t="n">
        <v>2011</v>
      </c>
      <c r="B135" s="10" t="n">
        <v>4</v>
      </c>
      <c r="C135" s="10" t="s">
        <v>28</v>
      </c>
      <c r="D135" s="24" t="n">
        <v>49568</v>
      </c>
      <c r="E135" s="11" t="n">
        <v>85690.63</v>
      </c>
      <c r="F135" s="18" t="n">
        <v>1.7287</v>
      </c>
    </row>
    <row r="136" customFormat="false" ht="15" hidden="false" customHeight="false" outlineLevel="0" collapsed="false">
      <c r="A136" s="10" t="n">
        <v>2011</v>
      </c>
      <c r="B136" s="10" t="n">
        <v>4</v>
      </c>
      <c r="C136" s="10" t="s">
        <v>31</v>
      </c>
      <c r="D136" s="24" t="n">
        <v>25748</v>
      </c>
      <c r="E136" s="11" t="n">
        <v>37895.42</v>
      </c>
      <c r="F136" s="18" t="n">
        <v>1.4718</v>
      </c>
    </row>
    <row r="137" customFormat="false" ht="15" hidden="false" customHeight="false" outlineLevel="0" collapsed="false">
      <c r="A137" s="10" t="n">
        <v>2011</v>
      </c>
      <c r="B137" s="10" t="n">
        <v>4</v>
      </c>
      <c r="C137" s="10" t="s">
        <v>34</v>
      </c>
      <c r="D137" s="24" t="n">
        <v>81556</v>
      </c>
      <c r="E137" s="11" t="n">
        <v>119452.86</v>
      </c>
      <c r="F137" s="18" t="n">
        <v>1.4647</v>
      </c>
    </row>
    <row r="138" customFormat="false" ht="15" hidden="false" customHeight="false" outlineLevel="0" collapsed="false">
      <c r="A138" s="10" t="n">
        <v>2011</v>
      </c>
      <c r="B138" s="10" t="n">
        <v>4</v>
      </c>
      <c r="C138" s="10" t="s">
        <v>32</v>
      </c>
      <c r="D138" s="24" t="n">
        <v>13227</v>
      </c>
      <c r="E138" s="11" t="n">
        <v>40765.49</v>
      </c>
      <c r="F138" s="18" t="n">
        <v>3.082</v>
      </c>
    </row>
    <row r="139" customFormat="false" ht="15" hidden="false" customHeight="false" outlineLevel="0" collapsed="false">
      <c r="A139" s="10" t="n">
        <v>2011</v>
      </c>
      <c r="B139" s="10" t="n">
        <v>4</v>
      </c>
      <c r="C139" s="10" t="s">
        <v>33</v>
      </c>
      <c r="D139" s="24" t="n">
        <v>33205</v>
      </c>
      <c r="E139" s="11" t="n">
        <v>34484.5</v>
      </c>
      <c r="F139" s="18" t="n">
        <v>1.0385</v>
      </c>
    </row>
    <row r="140" customFormat="false" ht="15" hidden="false" customHeight="false" outlineLevel="0" collapsed="false">
      <c r="A140" s="10" t="n">
        <v>2011</v>
      </c>
      <c r="B140" s="10" t="n">
        <v>4</v>
      </c>
      <c r="C140" s="10" t="s">
        <v>29</v>
      </c>
      <c r="D140" s="24" t="n">
        <v>23380</v>
      </c>
      <c r="E140" s="11" t="n">
        <v>52232.87</v>
      </c>
      <c r="F140" s="18" t="n">
        <v>2.2341</v>
      </c>
    </row>
    <row r="141" customFormat="false" ht="15" hidden="false" customHeight="false" outlineLevel="0" collapsed="false">
      <c r="A141" s="10" t="n">
        <v>2011</v>
      </c>
      <c r="B141" s="10" t="n">
        <v>5</v>
      </c>
      <c r="C141" s="10" t="s">
        <v>30</v>
      </c>
      <c r="D141" s="24" t="n">
        <v>56305</v>
      </c>
      <c r="E141" s="11" t="n">
        <v>100284.57</v>
      </c>
      <c r="F141" s="18" t="n">
        <v>1.7811</v>
      </c>
    </row>
    <row r="142" customFormat="false" ht="15" hidden="false" customHeight="false" outlineLevel="0" collapsed="false">
      <c r="A142" s="10" t="n">
        <v>2011</v>
      </c>
      <c r="B142" s="10" t="n">
        <v>5</v>
      </c>
      <c r="C142" s="10" t="s">
        <v>27</v>
      </c>
      <c r="D142" s="24" t="n">
        <v>60663</v>
      </c>
      <c r="E142" s="11" t="n">
        <v>135053.37</v>
      </c>
      <c r="F142" s="18" t="n">
        <v>2.2263</v>
      </c>
    </row>
    <row r="143" customFormat="false" ht="15" hidden="false" customHeight="false" outlineLevel="0" collapsed="false">
      <c r="A143" s="10" t="n">
        <v>2011</v>
      </c>
      <c r="B143" s="10" t="n">
        <v>5</v>
      </c>
      <c r="C143" s="10" t="s">
        <v>28</v>
      </c>
      <c r="D143" s="24" t="n">
        <v>63160</v>
      </c>
      <c r="E143" s="11" t="n">
        <v>117914.08</v>
      </c>
      <c r="F143" s="18" t="n">
        <v>1.8669</v>
      </c>
    </row>
    <row r="144" customFormat="false" ht="15" hidden="false" customHeight="false" outlineLevel="0" collapsed="false">
      <c r="A144" s="10" t="n">
        <v>2011</v>
      </c>
      <c r="B144" s="10" t="n">
        <v>5</v>
      </c>
      <c r="C144" s="10" t="s">
        <v>31</v>
      </c>
      <c r="D144" s="24" t="n">
        <v>38049</v>
      </c>
      <c r="E144" s="11" t="n">
        <v>62679.54</v>
      </c>
      <c r="F144" s="18" t="n">
        <v>1.6473</v>
      </c>
    </row>
    <row r="145" customFormat="false" ht="15" hidden="false" customHeight="false" outlineLevel="0" collapsed="false">
      <c r="A145" s="10" t="n">
        <v>2011</v>
      </c>
      <c r="B145" s="10" t="n">
        <v>5</v>
      </c>
      <c r="C145" s="10" t="s">
        <v>34</v>
      </c>
      <c r="D145" s="24" t="n">
        <v>91974</v>
      </c>
      <c r="E145" s="11" t="n">
        <v>156259.01</v>
      </c>
      <c r="F145" s="18" t="n">
        <v>1.6989</v>
      </c>
    </row>
    <row r="146" customFormat="false" ht="15" hidden="false" customHeight="false" outlineLevel="0" collapsed="false">
      <c r="A146" s="10" t="n">
        <v>2011</v>
      </c>
      <c r="B146" s="10" t="n">
        <v>5</v>
      </c>
      <c r="C146" s="10" t="s">
        <v>32</v>
      </c>
      <c r="D146" s="24" t="n">
        <v>16050</v>
      </c>
      <c r="E146" s="11" t="n">
        <v>55471.08</v>
      </c>
      <c r="F146" s="18" t="n">
        <v>3.4561</v>
      </c>
    </row>
    <row r="147" customFormat="false" ht="15" hidden="false" customHeight="false" outlineLevel="0" collapsed="false">
      <c r="A147" s="10" t="n">
        <v>2011</v>
      </c>
      <c r="B147" s="10" t="n">
        <v>5</v>
      </c>
      <c r="C147" s="10" t="s">
        <v>33</v>
      </c>
      <c r="D147" s="24" t="n">
        <v>36413</v>
      </c>
      <c r="E147" s="11" t="n">
        <v>38914.22</v>
      </c>
      <c r="F147" s="18" t="n">
        <v>1.0687</v>
      </c>
    </row>
    <row r="148" customFormat="false" ht="15" hidden="false" customHeight="false" outlineLevel="0" collapsed="false">
      <c r="A148" s="10" t="n">
        <v>2011</v>
      </c>
      <c r="B148" s="10" t="n">
        <v>5</v>
      </c>
      <c r="C148" s="10" t="s">
        <v>29</v>
      </c>
      <c r="D148" s="24" t="n">
        <v>32775</v>
      </c>
      <c r="E148" s="11" t="n">
        <v>74601.54</v>
      </c>
      <c r="F148" s="18" t="n">
        <v>2.2762</v>
      </c>
    </row>
    <row r="149" customFormat="false" ht="15" hidden="false" customHeight="false" outlineLevel="0" collapsed="false">
      <c r="A149" s="10" t="n">
        <v>2011</v>
      </c>
      <c r="B149" s="10" t="n">
        <v>6</v>
      </c>
      <c r="C149" s="10" t="s">
        <v>30</v>
      </c>
      <c r="D149" s="24" t="n">
        <v>53399</v>
      </c>
      <c r="E149" s="11" t="n">
        <v>92411.47</v>
      </c>
      <c r="F149" s="18" t="n">
        <v>1.7306</v>
      </c>
    </row>
    <row r="150" customFormat="false" ht="15" hidden="false" customHeight="false" outlineLevel="0" collapsed="false">
      <c r="A150" s="10" t="n">
        <v>2011</v>
      </c>
      <c r="B150" s="10" t="n">
        <v>6</v>
      </c>
      <c r="C150" s="10" t="s">
        <v>27</v>
      </c>
      <c r="D150" s="24" t="n">
        <v>58871</v>
      </c>
      <c r="E150" s="11" t="n">
        <v>176156.61</v>
      </c>
      <c r="F150" s="18" t="n">
        <v>2.9922</v>
      </c>
    </row>
    <row r="151" customFormat="false" ht="15" hidden="false" customHeight="false" outlineLevel="0" collapsed="false">
      <c r="A151" s="10" t="n">
        <v>2011</v>
      </c>
      <c r="B151" s="10" t="n">
        <v>6</v>
      </c>
      <c r="C151" s="10" t="s">
        <v>28</v>
      </c>
      <c r="D151" s="24" t="n">
        <v>57324</v>
      </c>
      <c r="E151" s="11" t="n">
        <v>105618.96</v>
      </c>
      <c r="F151" s="18" t="n">
        <v>1.8425</v>
      </c>
    </row>
    <row r="152" customFormat="false" ht="15" hidden="false" customHeight="false" outlineLevel="0" collapsed="false">
      <c r="A152" s="10" t="n">
        <v>2011</v>
      </c>
      <c r="B152" s="10" t="n">
        <v>6</v>
      </c>
      <c r="C152" s="10" t="s">
        <v>31</v>
      </c>
      <c r="D152" s="24" t="n">
        <v>27707</v>
      </c>
      <c r="E152" s="11" t="n">
        <v>46278.42</v>
      </c>
      <c r="F152" s="18" t="n">
        <v>1.6703</v>
      </c>
    </row>
    <row r="153" customFormat="false" ht="15" hidden="false" customHeight="false" outlineLevel="0" collapsed="false">
      <c r="A153" s="10" t="n">
        <v>2011</v>
      </c>
      <c r="B153" s="10" t="n">
        <v>6</v>
      </c>
      <c r="C153" s="10" t="s">
        <v>34</v>
      </c>
      <c r="D153" s="24" t="n">
        <v>93450</v>
      </c>
      <c r="E153" s="11" t="n">
        <v>141772.54</v>
      </c>
      <c r="F153" s="18" t="n">
        <v>1.5171</v>
      </c>
    </row>
    <row r="154" customFormat="false" ht="15" hidden="false" customHeight="false" outlineLevel="0" collapsed="false">
      <c r="A154" s="10" t="n">
        <v>2011</v>
      </c>
      <c r="B154" s="10" t="n">
        <v>6</v>
      </c>
      <c r="C154" s="10" t="s">
        <v>32</v>
      </c>
      <c r="D154" s="24" t="n">
        <v>16029</v>
      </c>
      <c r="E154" s="11" t="n">
        <v>43532.62</v>
      </c>
      <c r="F154" s="18" t="n">
        <v>2.7159</v>
      </c>
    </row>
    <row r="155" customFormat="false" ht="15" hidden="false" customHeight="false" outlineLevel="0" collapsed="false">
      <c r="A155" s="10" t="n">
        <v>2011</v>
      </c>
      <c r="B155" s="10" t="n">
        <v>6</v>
      </c>
      <c r="C155" s="10" t="s">
        <v>33</v>
      </c>
      <c r="D155" s="24" t="n">
        <v>46166</v>
      </c>
      <c r="E155" s="11" t="n">
        <v>38991.27</v>
      </c>
      <c r="F155" s="18" t="n">
        <v>0.8446</v>
      </c>
    </row>
    <row r="156" customFormat="false" ht="15" hidden="false" customHeight="false" outlineLevel="0" collapsed="false">
      <c r="A156" s="10" t="n">
        <v>2011</v>
      </c>
      <c r="B156" s="10" t="n">
        <v>6</v>
      </c>
      <c r="C156" s="10" t="s">
        <v>29</v>
      </c>
      <c r="D156" s="24" t="n">
        <v>35871</v>
      </c>
      <c r="E156" s="11" t="n">
        <v>93839.98</v>
      </c>
      <c r="F156" s="18" t="n">
        <v>2.616</v>
      </c>
    </row>
    <row r="157" customFormat="false" ht="15" hidden="false" customHeight="false" outlineLevel="0" collapsed="false">
      <c r="A157" s="10" t="n">
        <v>2011</v>
      </c>
      <c r="B157" s="10" t="n">
        <v>7</v>
      </c>
      <c r="C157" s="10" t="s">
        <v>30</v>
      </c>
      <c r="D157" s="24" t="n">
        <v>49506</v>
      </c>
      <c r="E157" s="11" t="n">
        <v>87617.71</v>
      </c>
      <c r="F157" s="18" t="n">
        <v>1.7698</v>
      </c>
    </row>
    <row r="158" customFormat="false" ht="15" hidden="false" customHeight="false" outlineLevel="0" collapsed="false">
      <c r="A158" s="10" t="n">
        <v>2011</v>
      </c>
      <c r="B158" s="10" t="n">
        <v>7</v>
      </c>
      <c r="C158" s="10" t="s">
        <v>27</v>
      </c>
      <c r="D158" s="24" t="n">
        <v>63713</v>
      </c>
      <c r="E158" s="11" t="n">
        <v>134797.5</v>
      </c>
      <c r="F158" s="18" t="n">
        <v>2.1157</v>
      </c>
    </row>
    <row r="159" customFormat="false" ht="15" hidden="false" customHeight="false" outlineLevel="0" collapsed="false">
      <c r="A159" s="10" t="n">
        <v>2011</v>
      </c>
      <c r="B159" s="10" t="n">
        <v>7</v>
      </c>
      <c r="C159" s="10" t="s">
        <v>28</v>
      </c>
      <c r="D159" s="24" t="n">
        <v>63576</v>
      </c>
      <c r="E159" s="11" t="n">
        <v>112190.75</v>
      </c>
      <c r="F159" s="18" t="n">
        <v>1.7647</v>
      </c>
    </row>
    <row r="160" customFormat="false" ht="15" hidden="false" customHeight="false" outlineLevel="0" collapsed="false">
      <c r="A160" s="10" t="n">
        <v>2011</v>
      </c>
      <c r="B160" s="10" t="n">
        <v>7</v>
      </c>
      <c r="C160" s="10" t="s">
        <v>31</v>
      </c>
      <c r="D160" s="24" t="n">
        <v>24484</v>
      </c>
      <c r="E160" s="11" t="n">
        <v>45254.02</v>
      </c>
      <c r="F160" s="18" t="n">
        <v>1.8483</v>
      </c>
    </row>
    <row r="161" customFormat="false" ht="15" hidden="false" customHeight="false" outlineLevel="0" collapsed="false">
      <c r="A161" s="10" t="n">
        <v>2011</v>
      </c>
      <c r="B161" s="10" t="n">
        <v>7</v>
      </c>
      <c r="C161" s="10" t="s">
        <v>34</v>
      </c>
      <c r="D161" s="24" t="n">
        <v>99511</v>
      </c>
      <c r="E161" s="11" t="n">
        <v>141497.75</v>
      </c>
      <c r="F161" s="18" t="n">
        <v>1.4219</v>
      </c>
    </row>
    <row r="162" customFormat="false" ht="15" hidden="false" customHeight="false" outlineLevel="0" collapsed="false">
      <c r="A162" s="10" t="n">
        <v>2011</v>
      </c>
      <c r="B162" s="10" t="n">
        <v>7</v>
      </c>
      <c r="C162" s="10" t="s">
        <v>32</v>
      </c>
      <c r="D162" s="24" t="n">
        <v>21056</v>
      </c>
      <c r="E162" s="11" t="n">
        <v>49586.51</v>
      </c>
      <c r="F162" s="18" t="n">
        <v>2.355</v>
      </c>
    </row>
    <row r="163" customFormat="false" ht="15" hidden="false" customHeight="false" outlineLevel="0" collapsed="false">
      <c r="A163" s="10" t="n">
        <v>2011</v>
      </c>
      <c r="B163" s="10" t="n">
        <v>7</v>
      </c>
      <c r="C163" s="10" t="s">
        <v>33</v>
      </c>
      <c r="D163" s="24" t="n">
        <v>42438</v>
      </c>
      <c r="E163" s="11" t="n">
        <v>37036.13</v>
      </c>
      <c r="F163" s="18" t="n">
        <v>0.8727</v>
      </c>
    </row>
    <row r="164" customFormat="false" ht="15" hidden="false" customHeight="false" outlineLevel="0" collapsed="false">
      <c r="A164" s="10" t="n">
        <v>2011</v>
      </c>
      <c r="B164" s="10" t="n">
        <v>7</v>
      </c>
      <c r="C164" s="10" t="s">
        <v>29</v>
      </c>
      <c r="D164" s="24" t="n">
        <v>37062</v>
      </c>
      <c r="E164" s="11" t="n">
        <v>81219.04</v>
      </c>
      <c r="F164" s="18" t="n">
        <v>2.1914</v>
      </c>
    </row>
    <row r="165" customFormat="false" ht="15" hidden="false" customHeight="false" outlineLevel="0" collapsed="false">
      <c r="A165" s="10" t="n">
        <v>2011</v>
      </c>
      <c r="B165" s="10" t="n">
        <v>8</v>
      </c>
      <c r="C165" s="10" t="s">
        <v>30</v>
      </c>
      <c r="D165" s="24" t="n">
        <v>65048</v>
      </c>
      <c r="E165" s="11" t="n">
        <v>117274.33</v>
      </c>
      <c r="F165" s="18" t="n">
        <v>1.8029</v>
      </c>
    </row>
    <row r="166" customFormat="false" ht="15" hidden="false" customHeight="false" outlineLevel="0" collapsed="false">
      <c r="A166" s="10" t="n">
        <v>2011</v>
      </c>
      <c r="B166" s="10" t="n">
        <v>8</v>
      </c>
      <c r="C166" s="10" t="s">
        <v>27</v>
      </c>
      <c r="D166" s="24" t="n">
        <v>65415</v>
      </c>
      <c r="E166" s="11" t="n">
        <v>124407.39</v>
      </c>
      <c r="F166" s="18" t="n">
        <v>1.9018</v>
      </c>
    </row>
    <row r="167" customFormat="false" ht="15" hidden="false" customHeight="false" outlineLevel="0" collapsed="false">
      <c r="A167" s="10" t="n">
        <v>2011</v>
      </c>
      <c r="B167" s="10" t="n">
        <v>8</v>
      </c>
      <c r="C167" s="10" t="s">
        <v>28</v>
      </c>
      <c r="D167" s="24" t="n">
        <v>60413</v>
      </c>
      <c r="E167" s="11" t="n">
        <v>101004.77</v>
      </c>
      <c r="F167" s="18" t="n">
        <v>1.6719</v>
      </c>
    </row>
    <row r="168" customFormat="false" ht="15" hidden="false" customHeight="false" outlineLevel="0" collapsed="false">
      <c r="A168" s="10" t="n">
        <v>2011</v>
      </c>
      <c r="B168" s="10" t="n">
        <v>8</v>
      </c>
      <c r="C168" s="10" t="s">
        <v>31</v>
      </c>
      <c r="D168" s="24" t="n">
        <v>28346</v>
      </c>
      <c r="E168" s="11" t="n">
        <v>47534.56</v>
      </c>
      <c r="F168" s="18" t="n">
        <v>1.6769</v>
      </c>
    </row>
    <row r="169" customFormat="false" ht="15" hidden="false" customHeight="false" outlineLevel="0" collapsed="false">
      <c r="A169" s="10" t="n">
        <v>2011</v>
      </c>
      <c r="B169" s="10" t="n">
        <v>8</v>
      </c>
      <c r="C169" s="10" t="s">
        <v>34</v>
      </c>
      <c r="D169" s="24" t="n">
        <v>92983</v>
      </c>
      <c r="E169" s="11" t="n">
        <v>149411.91</v>
      </c>
      <c r="F169" s="18" t="n">
        <v>1.6069</v>
      </c>
    </row>
    <row r="170" customFormat="false" ht="15" hidden="false" customHeight="false" outlineLevel="0" collapsed="false">
      <c r="A170" s="10" t="n">
        <v>2011</v>
      </c>
      <c r="B170" s="10" t="n">
        <v>8</v>
      </c>
      <c r="C170" s="10" t="s">
        <v>32</v>
      </c>
      <c r="D170" s="24" t="n">
        <v>26072</v>
      </c>
      <c r="E170" s="11" t="n">
        <v>57879.01</v>
      </c>
      <c r="F170" s="18" t="n">
        <v>2.22</v>
      </c>
    </row>
    <row r="171" customFormat="false" ht="15" hidden="false" customHeight="false" outlineLevel="0" collapsed="false">
      <c r="A171" s="10" t="n">
        <v>2011</v>
      </c>
      <c r="B171" s="10" t="n">
        <v>8</v>
      </c>
      <c r="C171" s="10" t="s">
        <v>33</v>
      </c>
      <c r="D171" s="24" t="n">
        <v>43110</v>
      </c>
      <c r="E171" s="11" t="n">
        <v>45651.33</v>
      </c>
      <c r="F171" s="18" t="n">
        <v>1.0589</v>
      </c>
    </row>
    <row r="172" customFormat="false" ht="15" hidden="false" customHeight="false" outlineLevel="0" collapsed="false">
      <c r="A172" s="10" t="n">
        <v>2011</v>
      </c>
      <c r="B172" s="10" t="n">
        <v>8</v>
      </c>
      <c r="C172" s="10" t="s">
        <v>29</v>
      </c>
      <c r="D172" s="24" t="n">
        <v>40049</v>
      </c>
      <c r="E172" s="11" t="n">
        <v>93193.93</v>
      </c>
      <c r="F172" s="18" t="n">
        <v>2.327</v>
      </c>
    </row>
    <row r="173" customFormat="false" ht="15" hidden="false" customHeight="false" outlineLevel="0" collapsed="false">
      <c r="A173" s="10" t="n">
        <v>2011</v>
      </c>
      <c r="B173" s="10" t="n">
        <v>9</v>
      </c>
      <c r="C173" s="10" t="s">
        <v>30</v>
      </c>
      <c r="D173" s="24" t="n">
        <v>55187</v>
      </c>
      <c r="E173" s="11" t="n">
        <v>99797.73</v>
      </c>
      <c r="F173" s="18" t="n">
        <v>1.8084</v>
      </c>
    </row>
    <row r="174" customFormat="false" ht="15" hidden="false" customHeight="false" outlineLevel="0" collapsed="false">
      <c r="A174" s="10" t="n">
        <v>2011</v>
      </c>
      <c r="B174" s="10" t="n">
        <v>9</v>
      </c>
      <c r="C174" s="10" t="s">
        <v>27</v>
      </c>
      <c r="D174" s="24" t="n">
        <v>100860</v>
      </c>
      <c r="E174" s="11" t="n">
        <v>224066.68</v>
      </c>
      <c r="F174" s="18" t="n">
        <v>2.2216</v>
      </c>
    </row>
    <row r="175" customFormat="false" ht="15" hidden="false" customHeight="false" outlineLevel="0" collapsed="false">
      <c r="A175" s="10" t="n">
        <v>2011</v>
      </c>
      <c r="B175" s="10" t="n">
        <v>9</v>
      </c>
      <c r="C175" s="10" t="s">
        <v>28</v>
      </c>
      <c r="D175" s="24" t="n">
        <v>77167</v>
      </c>
      <c r="E175" s="11" t="n">
        <v>155556.5</v>
      </c>
      <c r="F175" s="18" t="n">
        <v>2.0158</v>
      </c>
    </row>
    <row r="176" customFormat="false" ht="15" hidden="false" customHeight="false" outlineLevel="0" collapsed="false">
      <c r="A176" s="10" t="n">
        <v>2011</v>
      </c>
      <c r="B176" s="10" t="n">
        <v>9</v>
      </c>
      <c r="C176" s="10" t="s">
        <v>31</v>
      </c>
      <c r="D176" s="24" t="n">
        <v>36301</v>
      </c>
      <c r="E176" s="11" t="n">
        <v>64888.07</v>
      </c>
      <c r="F176" s="18" t="n">
        <v>1.7875</v>
      </c>
    </row>
    <row r="177" customFormat="false" ht="15" hidden="false" customHeight="false" outlineLevel="0" collapsed="false">
      <c r="A177" s="10" t="n">
        <v>2011</v>
      </c>
      <c r="B177" s="10" t="n">
        <v>9</v>
      </c>
      <c r="C177" s="10" t="s">
        <v>34</v>
      </c>
      <c r="D177" s="24" t="n">
        <v>126269</v>
      </c>
      <c r="E177" s="11" t="n">
        <v>190137.26</v>
      </c>
      <c r="F177" s="18" t="n">
        <v>1.5058</v>
      </c>
    </row>
    <row r="178" customFormat="false" ht="15" hidden="false" customHeight="false" outlineLevel="0" collapsed="false">
      <c r="A178" s="10" t="n">
        <v>2011</v>
      </c>
      <c r="B178" s="10" t="n">
        <v>9</v>
      </c>
      <c r="C178" s="10" t="s">
        <v>32</v>
      </c>
      <c r="D178" s="24" t="n">
        <v>66607</v>
      </c>
      <c r="E178" s="11" t="n">
        <v>108188.05</v>
      </c>
      <c r="F178" s="18" t="n">
        <v>1.6243</v>
      </c>
    </row>
    <row r="179" customFormat="false" ht="15" hidden="false" customHeight="false" outlineLevel="0" collapsed="false">
      <c r="A179" s="10" t="n">
        <v>2011</v>
      </c>
      <c r="B179" s="10" t="n">
        <v>9</v>
      </c>
      <c r="C179" s="10" t="s">
        <v>33</v>
      </c>
      <c r="D179" s="24" t="n">
        <v>54896</v>
      </c>
      <c r="E179" s="11" t="n">
        <v>57137.93</v>
      </c>
      <c r="F179" s="18" t="n">
        <v>1.0408</v>
      </c>
    </row>
    <row r="180" customFormat="false" ht="15" hidden="false" customHeight="false" outlineLevel="0" collapsed="false">
      <c r="A180" s="10" t="n">
        <v>2011</v>
      </c>
      <c r="B180" s="10" t="n">
        <v>9</v>
      </c>
      <c r="C180" s="10" t="s">
        <v>29</v>
      </c>
      <c r="D180" s="24" t="n">
        <v>52655</v>
      </c>
      <c r="E180" s="11" t="n">
        <v>130613.14</v>
      </c>
      <c r="F180" s="18" t="n">
        <v>2.4805</v>
      </c>
    </row>
    <row r="181" customFormat="false" ht="15" hidden="false" customHeight="false" outlineLevel="0" collapsed="false">
      <c r="A181" s="10" t="n">
        <v>2011</v>
      </c>
      <c r="B181" s="10" t="n">
        <v>10</v>
      </c>
      <c r="C181" s="10" t="s">
        <v>30</v>
      </c>
      <c r="D181" s="24" t="n">
        <v>51989</v>
      </c>
      <c r="E181" s="11" t="n">
        <v>96129.55</v>
      </c>
      <c r="F181" s="18" t="n">
        <v>1.849</v>
      </c>
    </row>
    <row r="182" customFormat="false" ht="15" hidden="false" customHeight="false" outlineLevel="0" collapsed="false">
      <c r="A182" s="10" t="n">
        <v>2011</v>
      </c>
      <c r="B182" s="10" t="n">
        <v>10</v>
      </c>
      <c r="C182" s="10" t="s">
        <v>27</v>
      </c>
      <c r="D182" s="24" t="n">
        <v>101465</v>
      </c>
      <c r="E182" s="11" t="n">
        <v>214120.46</v>
      </c>
      <c r="F182" s="18" t="n">
        <v>2.1103</v>
      </c>
    </row>
    <row r="183" customFormat="false" ht="15" hidden="false" customHeight="false" outlineLevel="0" collapsed="false">
      <c r="A183" s="10" t="n">
        <v>2011</v>
      </c>
      <c r="B183" s="10" t="n">
        <v>10</v>
      </c>
      <c r="C183" s="10" t="s">
        <v>28</v>
      </c>
      <c r="D183" s="24" t="n">
        <v>69268</v>
      </c>
      <c r="E183" s="11" t="n">
        <v>146259.56</v>
      </c>
      <c r="F183" s="18" t="n">
        <v>2.1115</v>
      </c>
    </row>
    <row r="184" customFormat="false" ht="15" hidden="false" customHeight="false" outlineLevel="0" collapsed="false">
      <c r="A184" s="10" t="n">
        <v>2011</v>
      </c>
      <c r="B184" s="10" t="n">
        <v>10</v>
      </c>
      <c r="C184" s="10" t="s">
        <v>31</v>
      </c>
      <c r="D184" s="24" t="n">
        <v>46239</v>
      </c>
      <c r="E184" s="11" t="n">
        <v>85761.65</v>
      </c>
      <c r="F184" s="18" t="n">
        <v>1.8547</v>
      </c>
    </row>
    <row r="185" customFormat="false" ht="15" hidden="false" customHeight="false" outlineLevel="0" collapsed="false">
      <c r="A185" s="10" t="n">
        <v>2011</v>
      </c>
      <c r="B185" s="10" t="n">
        <v>10</v>
      </c>
      <c r="C185" s="10" t="s">
        <v>34</v>
      </c>
      <c r="D185" s="24" t="n">
        <v>131887</v>
      </c>
      <c r="E185" s="11" t="n">
        <v>232955.37</v>
      </c>
      <c r="F185" s="18" t="n">
        <v>1.7663</v>
      </c>
    </row>
    <row r="186" customFormat="false" ht="15" hidden="false" customHeight="false" outlineLevel="0" collapsed="false">
      <c r="A186" s="10" t="n">
        <v>2011</v>
      </c>
      <c r="B186" s="10" t="n">
        <v>10</v>
      </c>
      <c r="C186" s="10" t="s">
        <v>32</v>
      </c>
      <c r="D186" s="24" t="n">
        <v>86316</v>
      </c>
      <c r="E186" s="11" t="n">
        <v>122687.67</v>
      </c>
      <c r="F186" s="18" t="n">
        <v>1.4214</v>
      </c>
    </row>
    <row r="187" customFormat="false" ht="15" hidden="false" customHeight="false" outlineLevel="0" collapsed="false">
      <c r="A187" s="10" t="n">
        <v>2011</v>
      </c>
      <c r="B187" s="10" t="n">
        <v>10</v>
      </c>
      <c r="C187" s="10" t="s">
        <v>33</v>
      </c>
      <c r="D187" s="24" t="n">
        <v>80289</v>
      </c>
      <c r="E187" s="11" t="n">
        <v>91983.2</v>
      </c>
      <c r="F187" s="18" t="n">
        <v>1.1457</v>
      </c>
    </row>
    <row r="188" customFormat="false" ht="15" hidden="false" customHeight="false" outlineLevel="0" collapsed="false">
      <c r="A188" s="10" t="n">
        <v>2011</v>
      </c>
      <c r="B188" s="10" t="n">
        <v>10</v>
      </c>
      <c r="C188" s="10" t="s">
        <v>29</v>
      </c>
      <c r="D188" s="24" t="n">
        <v>54269</v>
      </c>
      <c r="E188" s="11" t="n">
        <v>116685.41</v>
      </c>
      <c r="F188" s="18" t="n">
        <v>2.1501</v>
      </c>
    </row>
    <row r="189" customFormat="false" ht="15" hidden="false" customHeight="false" outlineLevel="0" collapsed="false">
      <c r="A189" s="10" t="n">
        <v>2011</v>
      </c>
      <c r="B189" s="10" t="n">
        <v>11</v>
      </c>
      <c r="C189" s="10" t="s">
        <v>30</v>
      </c>
      <c r="D189" s="24" t="n">
        <v>67496</v>
      </c>
      <c r="E189" s="11" t="n">
        <v>130684.67</v>
      </c>
      <c r="F189" s="18" t="n">
        <v>1.9362</v>
      </c>
    </row>
    <row r="190" customFormat="false" ht="15" hidden="false" customHeight="false" outlineLevel="0" collapsed="false">
      <c r="A190" s="10" t="n">
        <v>2011</v>
      </c>
      <c r="B190" s="10" t="n">
        <v>11</v>
      </c>
      <c r="C190" s="10" t="s">
        <v>27</v>
      </c>
      <c r="D190" s="24" t="n">
        <v>113159</v>
      </c>
      <c r="E190" s="11" t="n">
        <v>247215.57</v>
      </c>
      <c r="F190" s="18" t="n">
        <v>2.1847</v>
      </c>
    </row>
    <row r="191" customFormat="false" ht="15" hidden="false" customHeight="false" outlineLevel="0" collapsed="false">
      <c r="A191" s="10" t="n">
        <v>2011</v>
      </c>
      <c r="B191" s="10" t="n">
        <v>11</v>
      </c>
      <c r="C191" s="10" t="s">
        <v>28</v>
      </c>
      <c r="D191" s="24" t="n">
        <v>93669</v>
      </c>
      <c r="E191" s="11" t="n">
        <v>222053.4</v>
      </c>
      <c r="F191" s="18" t="n">
        <v>2.3706</v>
      </c>
    </row>
    <row r="192" customFormat="false" ht="15" hidden="false" customHeight="false" outlineLevel="0" collapsed="false">
      <c r="A192" s="10" t="n">
        <v>2011</v>
      </c>
      <c r="B192" s="10" t="n">
        <v>11</v>
      </c>
      <c r="C192" s="10" t="s">
        <v>31</v>
      </c>
      <c r="D192" s="24" t="n">
        <v>70768</v>
      </c>
      <c r="E192" s="11" t="n">
        <v>153265.9</v>
      </c>
      <c r="F192" s="18" t="n">
        <v>2.1658</v>
      </c>
    </row>
    <row r="193" customFormat="false" ht="15" hidden="false" customHeight="false" outlineLevel="0" collapsed="false">
      <c r="A193" s="10" t="n">
        <v>2011</v>
      </c>
      <c r="B193" s="10" t="n">
        <v>11</v>
      </c>
      <c r="C193" s="10" t="s">
        <v>34</v>
      </c>
      <c r="D193" s="24" t="n">
        <v>150969</v>
      </c>
      <c r="E193" s="11" t="n">
        <v>271240.31</v>
      </c>
      <c r="F193" s="18" t="n">
        <v>1.7967</v>
      </c>
    </row>
    <row r="194" customFormat="false" ht="15" hidden="false" customHeight="false" outlineLevel="0" collapsed="false">
      <c r="A194" s="10" t="n">
        <v>2011</v>
      </c>
      <c r="B194" s="10" t="n">
        <v>11</v>
      </c>
      <c r="C194" s="10" t="s">
        <v>32</v>
      </c>
      <c r="D194" s="24" t="n">
        <v>111176</v>
      </c>
      <c r="E194" s="11" t="n">
        <v>192456.33</v>
      </c>
      <c r="F194" s="18" t="n">
        <v>1.7311</v>
      </c>
    </row>
    <row r="195" customFormat="false" ht="15" hidden="false" customHeight="false" outlineLevel="0" collapsed="false">
      <c r="A195" s="10" t="n">
        <v>2011</v>
      </c>
      <c r="B195" s="10" t="n">
        <v>11</v>
      </c>
      <c r="C195" s="10" t="s">
        <v>33</v>
      </c>
      <c r="D195" s="24" t="n">
        <v>82889</v>
      </c>
      <c r="E195" s="11" t="n">
        <v>90332.38</v>
      </c>
      <c r="F195" s="18" t="n">
        <v>1.0898</v>
      </c>
    </row>
    <row r="196" customFormat="false" ht="15" hidden="false" customHeight="false" outlineLevel="0" collapsed="false">
      <c r="A196" s="10" t="n">
        <v>2011</v>
      </c>
      <c r="B196" s="10" t="n">
        <v>11</v>
      </c>
      <c r="C196" s="10" t="s">
        <v>29</v>
      </c>
      <c r="D196" s="24" t="n">
        <v>59931</v>
      </c>
      <c r="E196" s="11" t="n">
        <v>150121.97</v>
      </c>
      <c r="F196" s="18" t="n">
        <v>2.5049</v>
      </c>
    </row>
    <row r="197" customFormat="false" ht="15" hidden="false" customHeight="false" outlineLevel="0" collapsed="false">
      <c r="A197" s="10" t="n">
        <v>2011</v>
      </c>
      <c r="B197" s="10" t="n">
        <v>12</v>
      </c>
      <c r="C197" s="10" t="s">
        <v>30</v>
      </c>
      <c r="D197" s="24" t="n">
        <v>19627</v>
      </c>
      <c r="E197" s="11" t="n">
        <v>36903.46</v>
      </c>
      <c r="F197" s="18" t="n">
        <v>1.8802</v>
      </c>
    </row>
    <row r="198" customFormat="false" ht="15" hidden="false" customHeight="false" outlineLevel="0" collapsed="false">
      <c r="A198" s="10" t="n">
        <v>2011</v>
      </c>
      <c r="B198" s="10" t="n">
        <v>12</v>
      </c>
      <c r="C198" s="10" t="s">
        <v>27</v>
      </c>
      <c r="D198" s="24" t="n">
        <v>38072</v>
      </c>
      <c r="E198" s="11" t="n">
        <v>88365.91</v>
      </c>
      <c r="F198" s="18" t="n">
        <v>2.321</v>
      </c>
    </row>
    <row r="199" customFormat="false" ht="15" hidden="false" customHeight="false" outlineLevel="0" collapsed="false">
      <c r="A199" s="10" t="n">
        <v>2011</v>
      </c>
      <c r="B199" s="10" t="n">
        <v>12</v>
      </c>
      <c r="C199" s="10" t="s">
        <v>28</v>
      </c>
      <c r="D199" s="24" t="n">
        <v>32732</v>
      </c>
      <c r="E199" s="11" t="n">
        <v>73354.87</v>
      </c>
      <c r="F199" s="18" t="n">
        <v>2.2411</v>
      </c>
    </row>
    <row r="200" customFormat="false" ht="15" hidden="false" customHeight="false" outlineLevel="0" collapsed="false">
      <c r="A200" s="10" t="n">
        <v>2011</v>
      </c>
      <c r="B200" s="10" t="n">
        <v>12</v>
      </c>
      <c r="C200" s="10" t="s">
        <v>31</v>
      </c>
      <c r="D200" s="24" t="n">
        <v>22197</v>
      </c>
      <c r="E200" s="11" t="n">
        <v>42595.19</v>
      </c>
      <c r="F200" s="18" t="n">
        <v>1.919</v>
      </c>
    </row>
    <row r="201" customFormat="false" ht="15" hidden="false" customHeight="false" outlineLevel="0" collapsed="false">
      <c r="A201" s="10" t="n">
        <v>2011</v>
      </c>
      <c r="B201" s="10" t="n">
        <v>12</v>
      </c>
      <c r="C201" s="10" t="s">
        <v>34</v>
      </c>
      <c r="D201" s="24" t="n">
        <v>52790</v>
      </c>
      <c r="E201" s="11" t="n">
        <v>92682.43</v>
      </c>
      <c r="F201" s="18" t="n">
        <v>1.7557</v>
      </c>
    </row>
    <row r="202" customFormat="false" ht="15" hidden="false" customHeight="false" outlineLevel="0" collapsed="false">
      <c r="A202" s="10" t="n">
        <v>2011</v>
      </c>
      <c r="B202" s="10" t="n">
        <v>12</v>
      </c>
      <c r="C202" s="10" t="s">
        <v>32</v>
      </c>
      <c r="D202" s="24" t="n">
        <v>25903</v>
      </c>
      <c r="E202" s="11" t="n">
        <v>43017.6</v>
      </c>
      <c r="F202" s="18" t="n">
        <v>1.6607</v>
      </c>
    </row>
    <row r="203" customFormat="false" ht="15" hidden="false" customHeight="false" outlineLevel="0" collapsed="false">
      <c r="A203" s="10" t="n">
        <v>2011</v>
      </c>
      <c r="B203" s="10" t="n">
        <v>12</v>
      </c>
      <c r="C203" s="10" t="s">
        <v>33</v>
      </c>
      <c r="D203" s="24" t="n">
        <v>103725</v>
      </c>
      <c r="E203" s="11" t="n">
        <v>193410.57</v>
      </c>
      <c r="F203" s="18" t="n">
        <v>1.8646</v>
      </c>
    </row>
    <row r="204" customFormat="false" ht="15" hidden="false" customHeight="false" outlineLevel="0" collapsed="false">
      <c r="A204" s="10" t="n">
        <v>2011</v>
      </c>
      <c r="B204" s="10" t="n">
        <v>12</v>
      </c>
      <c r="C204" s="10" t="s">
        <v>29</v>
      </c>
      <c r="D204" s="24" t="n">
        <v>18227</v>
      </c>
      <c r="E204" s="11" t="n">
        <v>45013.24</v>
      </c>
      <c r="F204" s="18" t="n">
        <v>2.4696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5"/>
  </cols>
  <sheetData>
    <row r="1" customFormat="false" ht="18.55" hidden="false" customHeight="false" outlineLevel="0" collapsed="false">
      <c r="A1" s="12" t="s">
        <v>68</v>
      </c>
    </row>
    <row r="2" customFormat="false" ht="15" hidden="false" customHeight="false" outlineLevel="0" collapsed="false">
      <c r="A2" s="29"/>
    </row>
    <row r="3" customFormat="false" ht="15" hidden="false" customHeight="false" outlineLevel="0" collapsed="false">
      <c r="A3" s="14" t="s">
        <v>69</v>
      </c>
    </row>
    <row r="4" customFormat="false" ht="15" hidden="false" customHeight="false" outlineLevel="0" collapsed="false">
      <c r="A4" s="29" t="s">
        <v>70</v>
      </c>
    </row>
    <row r="5" customFormat="false" ht="15" hidden="false" customHeight="false" outlineLevel="0" collapsed="false">
      <c r="A5" s="29" t="s">
        <v>71</v>
      </c>
    </row>
    <row r="6" customFormat="false" ht="15" hidden="false" customHeight="false" outlineLevel="0" collapsed="false">
      <c r="A6" s="29"/>
    </row>
    <row r="7" customFormat="false" ht="15" hidden="false" customHeight="false" outlineLevel="0" collapsed="false">
      <c r="A7" s="29" t="s">
        <v>72</v>
      </c>
    </row>
    <row r="8" customFormat="false" ht="15" hidden="false" customHeight="false" outlineLevel="0" collapsed="false">
      <c r="A8" s="29" t="s">
        <v>73</v>
      </c>
    </row>
    <row r="9" customFormat="false" ht="15" hidden="false" customHeight="false" outlineLevel="0" collapsed="false">
      <c r="A9" s="29" t="s">
        <v>74</v>
      </c>
    </row>
    <row r="10" customFormat="false" ht="15" hidden="false" customHeight="false" outlineLevel="0" collapsed="false">
      <c r="A10" s="29"/>
    </row>
    <row r="11" customFormat="false" ht="15" hidden="false" customHeight="false" outlineLevel="0" collapsed="false">
      <c r="A11" s="29" t="s">
        <v>75</v>
      </c>
    </row>
    <row r="12" customFormat="false" ht="15" hidden="false" customHeight="false" outlineLevel="0" collapsed="false">
      <c r="A12" s="29" t="s">
        <v>76</v>
      </c>
    </row>
    <row r="13" customFormat="false" ht="15" hidden="false" customHeight="false" outlineLevel="0" collapsed="false">
      <c r="A13" s="29" t="s">
        <v>77</v>
      </c>
    </row>
    <row r="14" customFormat="false" ht="15" hidden="false" customHeight="false" outlineLevel="0" collapsed="false">
      <c r="A14" s="29" t="s">
        <v>78</v>
      </c>
    </row>
    <row r="15" customFormat="false" ht="15" hidden="false" customHeight="false" outlineLevel="0" collapsed="false">
      <c r="A15" s="29" t="s">
        <v>79</v>
      </c>
    </row>
    <row r="16" customFormat="false" ht="15" hidden="false" customHeight="false" outlineLevel="0" collapsed="false">
      <c r="A16" s="29"/>
    </row>
    <row r="17" customFormat="false" ht="15" hidden="false" customHeight="false" outlineLevel="0" collapsed="false">
      <c r="A17" s="14" t="s">
        <v>80</v>
      </c>
    </row>
    <row r="18" customFormat="false" ht="15" hidden="false" customHeight="false" outlineLevel="0" collapsed="false">
      <c r="A18" s="29" t="s">
        <v>81</v>
      </c>
    </row>
    <row r="19" customFormat="false" ht="15" hidden="false" customHeight="false" outlineLevel="0" collapsed="false">
      <c r="A19" s="29" t="s">
        <v>82</v>
      </c>
    </row>
    <row r="20" customFormat="false" ht="15" hidden="false" customHeight="false" outlineLevel="0" collapsed="false">
      <c r="A20" s="29"/>
    </row>
    <row r="21" customFormat="false" ht="15" hidden="false" customHeight="false" outlineLevel="0" collapsed="false">
      <c r="A21" s="14" t="s">
        <v>83</v>
      </c>
    </row>
    <row r="22" customFormat="false" ht="15" hidden="false" customHeight="false" outlineLevel="0" collapsed="false">
      <c r="A22" s="29" t="s">
        <v>84</v>
      </c>
    </row>
    <row r="23" customFormat="false" ht="15" hidden="false" customHeight="false" outlineLevel="0" collapsed="false">
      <c r="A23" s="29" t="s">
        <v>85</v>
      </c>
    </row>
    <row r="24" customFormat="false" ht="15" hidden="false" customHeight="false" outlineLevel="0" collapsed="false">
      <c r="A24" s="29"/>
    </row>
    <row r="25" customFormat="false" ht="15" hidden="false" customHeight="false" outlineLevel="0" collapsed="false">
      <c r="A25" s="29" t="s">
        <v>86</v>
      </c>
    </row>
    <row r="26" customFormat="false" ht="15" hidden="false" customHeight="false" outlineLevel="0" collapsed="false">
      <c r="A26" s="29" t="s">
        <v>87</v>
      </c>
    </row>
    <row r="27" customFormat="false" ht="15" hidden="false" customHeight="false" outlineLevel="0" collapsed="false">
      <c r="A27" s="29" t="s">
        <v>88</v>
      </c>
    </row>
    <row r="28" customFormat="false" ht="15" hidden="false" customHeight="false" outlineLevel="0" collapsed="false">
      <c r="A28" s="29" t="s">
        <v>89</v>
      </c>
    </row>
    <row r="29" customFormat="false" ht="15" hidden="false" customHeight="false" outlineLevel="0" collapsed="false">
      <c r="A29" s="29" t="s">
        <v>90</v>
      </c>
    </row>
    <row r="30" customFormat="false" ht="15" hidden="false" customHeight="false" outlineLevel="0" collapsed="false">
      <c r="A30" s="29"/>
    </row>
    <row r="31" customFormat="false" ht="15" hidden="false" customHeight="false" outlineLevel="0" collapsed="false">
      <c r="A31" s="14" t="s">
        <v>91</v>
      </c>
    </row>
    <row r="32" customFormat="false" ht="15" hidden="false" customHeight="false" outlineLevel="0" collapsed="false">
      <c r="A32" s="29" t="s">
        <v>92</v>
      </c>
    </row>
    <row r="33" customFormat="false" ht="15" hidden="false" customHeight="false" outlineLevel="0" collapsed="false">
      <c r="A33" s="29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2026-06-05T23:41:32Z</dcterms:created>
  <dc:creator>openpyxl</dc:creator>
  <dc:description/>
  <dc:language>en-US</dc:language>
  <cp:lastModifiedBy/>
  <dcterms:modified xsi:type="dcterms:W3CDTF">2026-06-09T09:01:40Z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